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0bebfc6547433a" /></Relationships>
</file>

<file path=xl/workbook.xml><?xml version="1.0" encoding="utf-8"?>
<x:workbook xmlns:x="http://schemas.openxmlformats.org/spreadsheetml/2006/main">
  <x:sheets>
    <x:sheet xmlns:r="http://schemas.openxmlformats.org/officeDocument/2006/relationships" name="表紙" sheetId="1" r:id="R006e312f01584553"/>
    <x:sheet xmlns:r="http://schemas.openxmlformats.org/officeDocument/2006/relationships" name="改版履歴" sheetId="2" r:id="Rbc83eb400da84e94"/>
    <x:sheet xmlns:r="http://schemas.openxmlformats.org/officeDocument/2006/relationships" name="サマリ" sheetId="3" r:id="Rcac993c6a1694814"/>
    <x:sheet xmlns:r="http://schemas.openxmlformats.org/officeDocument/2006/relationships" name="実施ルール" sheetId="4" r:id="R0a5e641334c2461d"/>
    <x:sheet xmlns:r="http://schemas.openxmlformats.org/officeDocument/2006/relationships" name="テストデータ" sheetId="5" r:id="R0e6e0b22af0944cc"/>
    <x:sheet xmlns:r="http://schemas.openxmlformats.org/officeDocument/2006/relationships" name="全テストケース" sheetId="6" r:id="R2e2b6961b9844fe4"/>
    <x:sheet xmlns:r="http://schemas.openxmlformats.org/officeDocument/2006/relationships" name="単体テスト" sheetId="7" r:id="R4d55e39719c04b43"/>
    <x:sheet xmlns:r="http://schemas.openxmlformats.org/officeDocument/2006/relationships" name="結合テスト" sheetId="8" r:id="R59b1e4a14af041fc"/>
    <x:sheet xmlns:r="http://schemas.openxmlformats.org/officeDocument/2006/relationships" name="総合テスト" sheetId="9" r:id="Rdda06e71c2b245a1"/>
    <x:sheet xmlns:r="http://schemas.openxmlformats.org/officeDocument/2006/relationships" name="セキュリティ・運用テスト" sheetId="10" r:id="R0061821b61634101"/>
    <x:sheet xmlns:r="http://schemas.openxmlformats.org/officeDocument/2006/relationships" name="不具合記録" sheetId="11" r:id="R18e1004b450a47a6"/>
    <x:sheet xmlns:r="http://schemas.openxmlformats.org/officeDocument/2006/relationships" name="ソース参照" sheetId="12" r:id="R5fa84aeb742e433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9">
    <x:font>
      <x:sz val="11"/>
      <x:name val="Carlito"/>
    </x:font>
    <x:font>
      <x:b/>
      <x:sz val="20"/>
      <x:color rgb="275D83"/>
      <x:name val="Carlito"/>
    </x:font>
    <x:font>
      <x:b/>
      <x:sz val="11"/>
      <x:name val="Carlito"/>
    </x:font>
    <x:font>
      <x:b/>
      <x:sz val="13"/>
      <x:color rgb="275D83"/>
      <x:name val="Carlito"/>
    </x:font>
    <x:font>
      <x:b/>
      <x:sz val="11"/>
      <x:color rgb="1F2937"/>
      <x:name val="Carlito"/>
    </x:font>
    <x:font>
      <x:b/>
      <x:sz val="18"/>
      <x:color rgb="275D83"/>
      <x:name val="Carlito"/>
    </x:font>
    <x:font>
      <x:sz val="10"/>
      <x:color rgb="4B5563"/>
      <x:name val="Carlito"/>
    </x:font>
    <x:font>
      <x:b/>
      <x:sz val="11"/>
      <x:color rgb="275D83"/>
      <x:name val="Carlito"/>
    </x:font>
    <x:font>
      <x:sz val="10"/>
      <x:color rgb="1F2937"/>
      <x:name val="Carlito"/>
    </x:font>
  </x:fonts>
  <x:fills count="5">
    <x:fill>
      <x:patternFill patternType="none"/>
    </x:fill>
    <x:fill>
      <x:patternFill patternType="gray125"/>
    </x:fill>
    <x:fill>
      <x:patternFill patternType="solid">
        <x:fgColor rgb="EAF3FB"/>
      </x:patternFill>
    </x:fill>
    <x:fill>
      <x:patternFill patternType="solid">
        <x:fgColor rgb="D7EAF7"/>
      </x:patternFill>
    </x:fill>
    <x:fill>
      <x:patternFill patternType="solid">
        <x:fgColor rgb="FFFFFF"/>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1"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horizontal="left"/>
    </x:xf>
    <x:xf numFmtId="0" fontId="5" fillId="2" borderId="1"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1" xfId="0" applyNumberFormat="1" applyFont="1" applyFill="1" applyBorder="1" applyAlignment="1">
      <x:alignment horizontal="left" vertical="center"/>
    </x:xf>
    <x:xf numFmtId="0" fontId="6" fillId="0" borderId="0" xfId="0" applyNumberFormat="1" applyFont="1" applyFill="1" applyBorder="1"/>
    <x:xf numFmtId="0" fontId="6" fillId="0" borderId="1" xfId="0" applyNumberFormat="1" applyFont="1" applyFill="1" applyBorder="1"/>
    <x:xf numFmtId="0" fontId="6" fillId="4" borderId="0" xfId="0" applyNumberFormat="1" applyFont="1" applyFill="1" applyBorder="1"/>
    <x:xf numFmtId="0" fontId="6" fillId="4"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2" borderId="0" xfId="0" applyNumberFormat="1" applyFont="1" applyFill="1" applyBorder="1"/>
    <x:xf numFmtId="0" fontId="0" fillId="2"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201" fontId="8" fillId="0" borderId="0" xfId="0" applyNumberFormat="1" applyFont="1" applyFill="1" applyBorder="1" applyAlignment="1">
      <x:alignment horizontal="center" vertical="top" wrapText="1"/>
    </x:xf>
    <x:xf numFmtId="201" fontId="8" fillId="0" borderId="1" xfId="0" applyNumberFormat="1" applyFont="1" applyFill="1" applyBorder="1" applyAlignment="1">
      <x:alignment horizontal="center" vertical="top" wrapText="1"/>
    </x:xf>
    <x:xf numFmtId="201" fontId="4" fillId="3" borderId="0" xfId="0" applyNumberFormat="1" applyFont="1" applyFill="1" applyBorder="1" applyAlignment="1">
      <x:alignment horizontal="center" vertical="center" wrapText="1"/>
    </x:xf>
    <x:xf numFmtId="201"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7918a3d696423d" /><Relationship Type="http://schemas.openxmlformats.org/officeDocument/2006/relationships/theme" Target="/xl/theme/theme1.xml" Id="R8261569f4283417d" /><Relationship Type="http://schemas.openxmlformats.org/officeDocument/2006/relationships/sharedStrings" Target="/xl/sharedStrings.xml" Id="Raa9ee43142b849eb" /><Relationship Type="http://schemas.openxmlformats.org/officeDocument/2006/relationships/worksheet" Target="/xl/worksheets/sheet1.xml" Id="R006e312f01584553" /><Relationship Type="http://schemas.openxmlformats.org/officeDocument/2006/relationships/worksheet" Target="/xl/worksheets/sheet2.xml" Id="Rbc83eb400da84e94" /><Relationship Type="http://schemas.openxmlformats.org/officeDocument/2006/relationships/worksheet" Target="/xl/worksheets/sheet3.xml" Id="Rcac993c6a1694814" /><Relationship Type="http://schemas.openxmlformats.org/officeDocument/2006/relationships/worksheet" Target="/xl/worksheets/sheet4.xml" Id="R0a5e641334c2461d" /><Relationship Type="http://schemas.openxmlformats.org/officeDocument/2006/relationships/worksheet" Target="/xl/worksheets/sheet5.xml" Id="R0e6e0b22af0944cc" /><Relationship Type="http://schemas.openxmlformats.org/officeDocument/2006/relationships/worksheet" Target="/xl/worksheets/sheet6.xml" Id="R2e2b6961b9844fe4" /><Relationship Type="http://schemas.openxmlformats.org/officeDocument/2006/relationships/worksheet" Target="/xl/worksheets/sheet7.xml" Id="R4d55e39719c04b43" /><Relationship Type="http://schemas.openxmlformats.org/officeDocument/2006/relationships/worksheet" Target="/xl/worksheets/sheet8.xml" Id="R59b1e4a14af041fc" /><Relationship Type="http://schemas.openxmlformats.org/officeDocument/2006/relationships/worksheet" Target="/xl/worksheets/sheet9.xml" Id="Rdda06e71c2b245a1" /><Relationship Type="http://schemas.openxmlformats.org/officeDocument/2006/relationships/worksheet" Target="/xl/worksheets/sheet10.xml" Id="R0061821b61634101" /><Relationship Type="http://schemas.openxmlformats.org/officeDocument/2006/relationships/worksheet" Target="/xl/worksheets/sheet11.xml" Id="R18e1004b450a47a6" /><Relationship Type="http://schemas.openxmlformats.org/officeDocument/2006/relationships/worksheet" Target="/xl/worksheets/sheet12.xml" Id="R5fa84aeb742e43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6" hidden="0" customWidth="1"/>
    <x:col min="3" max="3" width="55" hidden="0" customWidth="1"/>
    <x:col min="4" max="4" width="26" hidden="0" customWidth="1"/>
  </x:cols>
  <x:sheetData>
    <x:row r="1" ht="40" customHeight="1">
      <x:c r="A1" s="4" t="str">
        <x:v>NFCReaderX システムテストチェックリスト</x:v>
      </x:c>
    </x:row>
    <x:row r="3" ht="32" customHeight="1">
      <x:c r="A3" s="14" t="str">
        <x:v>文書名</x:v>
      </x:c>
      <x:c r="B3" s="15" t="str">
        <x:v>NFCReaderX システムテストチェックリスト</x:v>
      </x:c>
    </x:row>
    <x:row r="4" ht="32" customHeight="1">
      <x:c r="A4" s="14" t="str">
        <x:v>対象システム</x:v>
      </x:c>
      <x:c r="B4" s="15" t="str">
        <x:v>NFCReaderX</x:v>
      </x:c>
    </x:row>
    <x:row r="5" ht="32" customHeight="1">
      <x:c r="A5" s="14" t="str">
        <x:v>対象範囲</x:v>
      </x:c>
      <x:c r="B5" s="15" t="str">
        <x:v>Android WebView APK、NFC読取、Laravel/Oracleサーバー、画面、API、運用・セキュリティ</x:v>
      </x:c>
    </x:row>
    <x:row r="6" ht="32" customHeight="1">
      <x:c r="A6" s="14" t="str">
        <x:v>作成日</x:v>
      </x:c>
      <x:c r="B6" s="15" t="str">
        <x:v>2026/04/27</x:v>
      </x:c>
    </x:row>
    <x:row r="7" ht="32" customHeight="1">
      <x:c r="A7" s="14" t="str">
        <x:v>版数</x:v>
      </x:c>
      <x:c r="B7" s="15" t="str">
        <x:v>1.0</x:v>
      </x:c>
    </x:row>
    <x:row r="8" ht="32" customHeight="1">
      <x:c r="A8" s="14" t="str">
        <x:v>位置付け</x:v>
      </x:c>
      <x:c r="B8" s="15" t="str">
        <x:v>人手実施用のテストチェックリスト。単体テストから総合テスト、セキュリティ・運用確認までを起票。</x:v>
      </x:c>
    </x:row>
    <x:row r="9" ht="32" customHeight="1">
      <x:c r="A9" s="14" t="str">
        <x:v>入力ルール</x:v>
      </x:c>
      <x:c r="B9" s="15" t="str">
        <x:v>結果欄は 未実施 / OK / NG / 保留 / 対象外 から選択。NG時は不具合票番号を記載。</x:v>
      </x:c>
    </x:row>
    <x:row r="10" ht="32" customHeight="1">
      <x:c r="A10" s="14" t="str">
        <x:v>管理方法</x:v>
      </x:c>
      <x:c r="B10" s="15" t="str">
        <x:v>全テストケース シートを正とし、工程別シートは工程単位の実施・印刷用として利用。</x:v>
      </x:c>
    </x:row>
    <x:row r="12">
      <x:c r="A12" s="20" t="str">
        <x:v>想定する試験工程</x:v>
      </x:c>
    </x:row>
    <x:row r="13" ht="30" customHeight="1">
      <x:c r="A13" s="28" t="str">
        <x:v>工程</x:v>
      </x:c>
      <x:c r="B13" s="28" t="str">
        <x:v>目的</x:v>
      </x:c>
      <x:c r="C13" s="28" t="str">
        <x:v>主な確認対象</x:v>
      </x:c>
      <x:c r="D13" s="28" t="str">
        <x:v>実施者</x:v>
      </x:c>
    </x:row>
    <x:row r="14" ht="44" customHeight="1">
      <x:c r="A14" s="11" t="str">
        <x:v>単体テスト</x:v>
      </x:c>
      <x:c r="B14" s="11" t="str">
        <x:v>個別モジュール・画面・APIの入力検証と異常系確認</x:v>
      </x:c>
      <x:c r="C14" s="11" t="str">
        <x:v>Android/Kotlin、Laravel Controller、画面JavaScript、モデル</x:v>
      </x:c>
      <x:c r="D14" s="11" t="str">
        <x:v>開発担当者</x:v>
      </x:c>
    </x:row>
    <x:row r="15" ht="44" customHeight="1">
      <x:c r="A15" s="11" t="str">
        <x:v>結合テスト</x:v>
      </x:c>
      <x:c r="B15" s="11" t="str">
        <x:v>Android、Web、API、DB、NFC読取の接続確認</x:v>
      </x:c>
      <x:c r="C15" s="11" t="str">
        <x:v>WebView連携、CSRF、セッション、Oracle登録、検索</x:v>
      </x:c>
      <x:c r="D15" s="11" t="str">
        <x:v>開発担当者・検証担当者</x:v>
      </x:c>
    </x:row>
    <x:row r="16" ht="44" customHeight="1">
      <x:c r="A16" s="11" t="str">
        <x:v>総合テスト</x:v>
      </x:c>
      <x:c r="B16" s="11" t="str">
        <x:v>業務シナリオ、性能、端末互換、障害時運用の確認</x:v>
      </x:c>
      <x:c r="C16" s="11" t="str">
        <x:v>実タブレット、実カード、本番相当ネットワーク</x:v>
      </x:c>
      <x:c r="D16" s="11" t="str">
        <x:v>システム担当者・業務担当者</x:v>
      </x:c>
    </x:row>
    <x:row r="17" ht="44" customHeight="1">
      <x:c r="A17" s="11" t="str">
        <x:v>セキュリティ・運用テスト</x:v>
      </x:c>
      <x:c r="B17" s="11" t="str">
        <x:v>認証/認可、データ保護、監査、バックアップ等の確認</x:v>
      </x:c>
      <x:c r="C17" s="11" t="str">
        <x:v>通信、Cookie、権限、ログ、バックアップ、端末管理</x:v>
      </x:c>
      <x:c r="D17" s="11" t="str">
        <x:v>システム担当者</x:v>
      </x:c>
    </x:row>
  </x:sheetData>
  <x:mergeCells>
    <x:mergeCell ref="A1:H1"/>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2" hidden="0" customWidth="1"/>
    <x:col min="4" max="4" width="70" hidden="0" customWidth="1"/>
    <x:col min="5" max="5" width="18" hidden="0" customWidth="1"/>
    <x:col min="6" max="6" width="18" hidden="0" customWidth="1"/>
  </x:cols>
  <x:sheetData>
    <x:row r="1" ht="30" customHeight="1">
      <x:c r="A1" s="28" t="str">
        <x:v>版数</x:v>
      </x:c>
      <x:c r="B1" s="28" t="str">
        <x:v>日付</x:v>
      </x:c>
      <x:c r="C1" s="28" t="str">
        <x:v>区分</x:v>
      </x:c>
      <x:c r="D1" s="28" t="str">
        <x:v>変更内容</x:v>
      </x:c>
      <x:c r="E1" s="28" t="str">
        <x:v>作成/更新者</x:v>
      </x:c>
      <x:c r="F1" s="28" t="str">
        <x:v>承認</x:v>
      </x:c>
    </x:row>
    <x:row r="2">
      <x:c r="A2" s="11" t="str">
        <x:v>1.0</x:v>
      </x:c>
      <x:c r="B2" s="11" t="str">
        <x:v>2026/04/27</x:v>
      </x:c>
      <x:c r="C2" s="11" t="str">
        <x:v>新規</x:v>
      </x:c>
      <x:c r="D2" s="11" t="str">
        <x:v>NFCReaderX全体の人手実施用テストチェックリストを起票</x:v>
      </x:c>
      <x:c r="E2" s="11" t="str"/>
      <x:c r="F2" s="11" t="str"/>
    </x:row>
    <x:row r="3">
      <x:c r="A3" s="11"/>
      <x:c r="B3" s="11"/>
      <x:c r="C3" s="11"/>
      <x:c r="D3" s="11"/>
      <x:c r="E3" s="11"/>
      <x:c r="F3" s="11"/>
    </x:row>
    <x:row r="4">
      <x:c r="A4" s="11"/>
      <x:c r="B4" s="11"/>
      <x:c r="C4" s="11"/>
      <x:c r="D4" s="11"/>
      <x:c r="E4" s="11"/>
      <x:c r="F4" s="11"/>
    </x:row>
    <x:row r="5">
      <x:c r="A5" s="11"/>
      <x:c r="B5" s="11"/>
      <x:c r="C5" s="11"/>
      <x:c r="D5" s="11"/>
      <x:c r="E5" s="11"/>
      <x:c r="F5" s="11"/>
    </x:row>
    <x:row r="6">
      <x:c r="A6" s="11"/>
      <x:c r="B6" s="11"/>
      <x:c r="C6" s="11"/>
      <x:c r="D6" s="11"/>
      <x:c r="E6" s="11"/>
      <x:c r="F6" s="11"/>
    </x:row>
    <x:row r="7">
      <x:c r="A7" s="11"/>
      <x:c r="B7" s="11"/>
      <x:c r="C7" s="11"/>
      <x:c r="D7" s="11"/>
      <x:c r="E7" s="11"/>
      <x:c r="F7" s="11"/>
    </x:row>
    <x:row r="8">
      <x:c r="A8" s="11"/>
      <x:c r="B8" s="11"/>
      <x:c r="C8" s="11"/>
      <x:c r="D8" s="11"/>
      <x:c r="E8" s="11"/>
      <x:c r="F8" s="11"/>
    </x:row>
    <x:row r="9">
      <x:c r="A9" s="11"/>
      <x:c r="B9" s="11"/>
      <x:c r="C9" s="11"/>
      <x:c r="D9" s="11"/>
      <x:c r="E9" s="11"/>
      <x:c r="F9" s="11"/>
    </x:row>
    <x:row r="10">
      <x:c r="A10" s="11"/>
      <x:c r="B10" s="11"/>
      <x:c r="C10" s="11"/>
      <x:c r="D10" s="11"/>
      <x:c r="E10" s="11"/>
      <x:c r="F10" s="11"/>
    </x:row>
    <x:row r="11">
      <x:c r="A11" s="11"/>
      <x:c r="B11" s="11"/>
      <x:c r="C11" s="11"/>
      <x:c r="D11" s="11"/>
      <x:c r="E11" s="11"/>
      <x:c r="F11" s="11"/>
    </x:row>
    <x:row r="12">
      <x:c r="A12" s="11"/>
      <x:c r="B12" s="11"/>
      <x:c r="C12" s="11"/>
      <x:c r="D12" s="11"/>
      <x:c r="E12" s="11"/>
      <x:c r="F12" s="11"/>
    </x:row>
    <x:row r="13">
      <x:c r="A13" s="11"/>
      <x:c r="B13" s="11"/>
      <x:c r="C13" s="11"/>
      <x:c r="D13" s="11"/>
      <x:c r="E13" s="11"/>
      <x:c r="F13" s="11"/>
    </x:row>
    <x:row r="14">
      <x:c r="A14" s="11"/>
      <x:c r="B14" s="11"/>
      <x:c r="C14" s="11"/>
      <x:c r="D14" s="11"/>
      <x:c r="E14" s="11"/>
      <x:c r="F14" s="11"/>
    </x:row>
    <x:row r="15">
      <x:c r="A15" s="11"/>
      <x:c r="B15" s="11"/>
      <x:c r="C15" s="11"/>
      <x:c r="D15" s="11"/>
      <x:c r="E15" s="11"/>
      <x:c r="F15" s="11"/>
    </x:row>
    <x:row r="16">
      <x:c r="A16" s="11"/>
      <x:c r="B16" s="11"/>
      <x:c r="C16" s="11"/>
      <x:c r="D16" s="11"/>
      <x:c r="E16" s="11"/>
      <x:c r="F16" s="11"/>
    </x:row>
    <x:row r="17">
      <x:c r="A17" s="11"/>
      <x:c r="B17" s="11"/>
      <x:c r="C17" s="11"/>
      <x:c r="D17" s="11"/>
      <x:c r="E17" s="11"/>
      <x:c r="F17" s="11"/>
    </x:row>
    <x:row r="18">
      <x:c r="A18" s="11"/>
      <x:c r="B18" s="11"/>
      <x:c r="C18" s="11"/>
      <x:c r="D18" s="11"/>
      <x:c r="E18" s="11"/>
      <x:c r="F18" s="11"/>
    </x:row>
    <x:row r="19">
      <x:c r="A19" s="11"/>
      <x:c r="B19" s="11"/>
      <x:c r="C19" s="11"/>
      <x:c r="D19" s="11"/>
      <x:c r="E19" s="11"/>
      <x:c r="F19" s="11"/>
    </x:row>
    <x:row r="20">
      <x:c r="A20" s="11"/>
      <x:c r="B20" s="11"/>
      <x:c r="C20" s="11"/>
      <x:c r="D20" s="11"/>
      <x:c r="E20" s="11"/>
      <x:c r="F20" s="1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36" t="str">
        <x:v>テスト実施サマリ</x:v>
      </x:c>
    </x:row>
    <x:row r="2" ht="22" customHeight="1">
      <x:c r="A2" s="40" t="str">
        <x:v>全テストケース シートの結果欄を集計します。</x:v>
      </x:c>
    </x:row>
    <x:row r="4" ht="30" customHeight="1">
      <x:c r="A4" s="28" t="str">
        <x:v>工程</x:v>
      </x:c>
      <x:c r="B4" s="28" t="str">
        <x:v>総件数</x:v>
      </x:c>
      <x:c r="C4" s="28" t="str">
        <x:v>OK</x:v>
      </x:c>
      <x:c r="D4" s="28" t="str">
        <x:v>NG</x:v>
      </x:c>
      <x:c r="E4" s="28" t="str">
        <x:v>保留</x:v>
      </x:c>
      <x:c r="F4" s="28" t="str">
        <x:v>対象外</x:v>
      </x:c>
      <x:c r="G4" s="28" t="str">
        <x:v>未実施</x:v>
      </x:c>
      <x:c r="H4" s="28" t="str">
        <x:v>完了率</x:v>
      </x:c>
    </x:row>
    <x:row r="5" ht="28" customHeight="1">
      <x:c r="A5" s="11" t="str">
        <x:v>単体テスト</x:v>
      </x:c>
      <x:c r="B5" s="11" t="n">
        <x:f>COUNTIF('全テストケース'!$C:$C,$A5)</x:f>
        <x:v>51</x:v>
      </x:c>
      <x:c r="C5" s="11" t="n">
        <x:f>COUNTIFS('全テストケース'!$C:$C,$A5,'全テストケース'!$J:$J,C$4)</x:f>
        <x:v>0</x:v>
      </x:c>
      <x:c r="D5" s="11" t="n">
        <x:f>COUNTIFS('全テストケース'!$C:$C,$A5,'全テストケース'!$J:$J,D$4)</x:f>
        <x:v>0</x:v>
      </x:c>
      <x:c r="E5" s="11" t="n">
        <x:f>COUNTIFS('全テストケース'!$C:$C,$A5,'全テストケース'!$J:$J,E$4)</x:f>
        <x:v>0</x:v>
      </x:c>
      <x:c r="F5" s="11" t="n">
        <x:f>COUNTIFS('全テストケース'!$C:$C,$A5,'全テストケース'!$J:$J,F$4)</x:f>
        <x:v>0</x:v>
      </x:c>
      <x:c r="G5" s="11" t="n">
        <x:f>COUNTIFS('全テストケース'!$C:$C,$A5,'全テストケース'!$J:$J,G$4)</x:f>
        <x:v>51</x:v>
      </x:c>
      <x:c r="H5" s="42" t="n">
        <x:f>IF(B5=0,0,(C5+F5)/B5)</x:f>
        <x:v>0</x:v>
      </x:c>
    </x:row>
    <x:row r="6" ht="28" customHeight="1">
      <x:c r="A6" s="11" t="str">
        <x:v>結合テスト</x:v>
      </x:c>
      <x:c r="B6" s="11" t="n">
        <x:f>COUNTIF('全テストケース'!$C:$C,$A6)</x:f>
        <x:v>29</x:v>
      </x:c>
      <x:c r="C6" s="11" t="n">
        <x:f>COUNTIFS('全テストケース'!$C:$C,$A6,'全テストケース'!$J:$J,C$4)</x:f>
        <x:v>0</x:v>
      </x:c>
      <x:c r="D6" s="11" t="n">
        <x:f>COUNTIFS('全テストケース'!$C:$C,$A6,'全テストケース'!$J:$J,D$4)</x:f>
        <x:v>0</x:v>
      </x:c>
      <x:c r="E6" s="11" t="n">
        <x:f>COUNTIFS('全テストケース'!$C:$C,$A6,'全テストケース'!$J:$J,E$4)</x:f>
        <x:v>0</x:v>
      </x:c>
      <x:c r="F6" s="11" t="n">
        <x:f>COUNTIFS('全テストケース'!$C:$C,$A6,'全テストケース'!$J:$J,F$4)</x:f>
        <x:v>0</x:v>
      </x:c>
      <x:c r="G6" s="11" t="n">
        <x:f>COUNTIFS('全テストケース'!$C:$C,$A6,'全テストケース'!$J:$J,G$4)</x:f>
        <x:v>29</x:v>
      </x:c>
      <x:c r="H6" s="42" t="n">
        <x:f>IF(B6=0,0,(C6+F6)/B6)</x:f>
        <x:v>0</x:v>
      </x:c>
    </x:row>
    <x:row r="7" ht="28" customHeight="1">
      <x:c r="A7" s="11" t="str">
        <x:v>総合テスト</x:v>
      </x:c>
      <x:c r="B7" s="11" t="n">
        <x:f>COUNTIF('全テストケース'!$C:$C,$A7)</x:f>
        <x:v>29</x:v>
      </x:c>
      <x:c r="C7" s="11" t="n">
        <x:f>COUNTIFS('全テストケース'!$C:$C,$A7,'全テストケース'!$J:$J,C$4)</x:f>
        <x:v>0</x:v>
      </x:c>
      <x:c r="D7" s="11" t="n">
        <x:f>COUNTIFS('全テストケース'!$C:$C,$A7,'全テストケース'!$J:$J,D$4)</x:f>
        <x:v>0</x:v>
      </x:c>
      <x:c r="E7" s="11" t="n">
        <x:f>COUNTIFS('全テストケース'!$C:$C,$A7,'全テストケース'!$J:$J,E$4)</x:f>
        <x:v>0</x:v>
      </x:c>
      <x:c r="F7" s="11" t="n">
        <x:f>COUNTIFS('全テストケース'!$C:$C,$A7,'全テストケース'!$J:$J,F$4)</x:f>
        <x:v>0</x:v>
      </x:c>
      <x:c r="G7" s="11" t="n">
        <x:f>COUNTIFS('全テストケース'!$C:$C,$A7,'全テストケース'!$J:$J,G$4)</x:f>
        <x:v>29</x:v>
      </x:c>
      <x:c r="H7" s="42" t="n">
        <x:f>IF(B7=0,0,(C7+F7)/B7)</x:f>
        <x:v>0</x:v>
      </x:c>
    </x:row>
    <x:row r="8" ht="28" customHeight="1">
      <x:c r="A8" s="11" t="str">
        <x:v>セキュリティ・運用テスト</x:v>
      </x:c>
      <x:c r="B8" s="11" t="n">
        <x:f>COUNTIF('全テストケース'!$C:$C,$A8)</x:f>
        <x:v>33</x:v>
      </x:c>
      <x:c r="C8" s="11" t="n">
        <x:f>COUNTIFS('全テストケース'!$C:$C,$A8,'全テストケース'!$J:$J,C$4)</x:f>
        <x:v>0</x:v>
      </x:c>
      <x:c r="D8" s="11" t="n">
        <x:f>COUNTIFS('全テストケース'!$C:$C,$A8,'全テストケース'!$J:$J,D$4)</x:f>
        <x:v>0</x:v>
      </x:c>
      <x:c r="E8" s="11" t="n">
        <x:f>COUNTIFS('全テストケース'!$C:$C,$A8,'全テストケース'!$J:$J,E$4)</x:f>
        <x:v>0</x:v>
      </x:c>
      <x:c r="F8" s="11" t="n">
        <x:f>COUNTIFS('全テストケース'!$C:$C,$A8,'全テストケース'!$J:$J,F$4)</x:f>
        <x:v>0</x:v>
      </x:c>
      <x:c r="G8" s="11" t="n">
        <x:f>COUNTIFS('全テストケース'!$C:$C,$A8,'全テストケース'!$J:$J,G$4)</x:f>
        <x:v>33</x:v>
      </x:c>
      <x:c r="H8" s="42" t="n">
        <x:f>IF(B8=0,0,(C8+F8)/B8)</x:f>
        <x:v>0</x:v>
      </x:c>
    </x:row>
    <x:row r="12" ht="30" customHeight="1">
      <x:c r="A12" s="28" t="str">
        <x:v>優先度</x:v>
      </x:c>
      <x:c r="B12" s="28" t="str">
        <x:v>件数</x:v>
      </x:c>
      <x:c r="C12" s="28" t="str">
        <x:v>NG件数</x:v>
      </x:c>
      <x:c r="D12" s="28" t="str">
        <x:v>未実施件数</x:v>
      </x:c>
    </x:row>
    <x:row r="13">
      <x:c r="A13" t="str">
        <x:v>高</x:v>
      </x:c>
      <x:c r="B13" t="n">
        <x:f>COUNTIF('全テストケース'!$O:$O,$A13)</x:f>
        <x:v>96</x:v>
      </x:c>
      <x:c r="C13" t="n">
        <x:f>COUNTIFS('全テストケース'!$O:$O,$A13,'全テストケース'!$J:$J,"NG")</x:f>
        <x:v>0</x:v>
      </x:c>
      <x:c r="D13" t="n">
        <x:f>COUNTIFS('全テストケース'!$O:$O,$A13,'全テストケース'!$J:$J,"未実施")</x:f>
        <x:v>96</x:v>
      </x:c>
    </x:row>
    <x:row r="14">
      <x:c r="A14" t="str">
        <x:v>中</x:v>
      </x:c>
      <x:c r="B14" t="n">
        <x:f>COUNTIF('全テストケース'!$O:$O,$A14)</x:f>
        <x:v>43</x:v>
      </x:c>
      <x:c r="C14" t="n">
        <x:f>COUNTIFS('全テストケース'!$O:$O,$A14,'全テストケース'!$J:$J,"NG")</x:f>
        <x:v>0</x:v>
      </x:c>
      <x:c r="D14" t="n">
        <x:f>COUNTIFS('全テストケース'!$O:$O,$A14,'全テストケース'!$J:$J,"未実施")</x:f>
        <x:v>43</x:v>
      </x:c>
    </x:row>
    <x:row r="15">
      <x:c r="A15" t="str">
        <x:v>低</x:v>
      </x:c>
      <x:c r="B15" t="n">
        <x:f>COUNTIF('全テストケース'!$O:$O,$A15)</x:f>
        <x:v>3</x:v>
      </x:c>
      <x:c r="C15" t="n">
        <x:f>COUNTIFS('全テストケース'!$O:$O,$A15,'全テストケース'!$J:$J,"NG")</x:f>
        <x:v>0</x:v>
      </x:c>
      <x:c r="D15" t="n">
        <x:f>COUNTIFS('全テストケース'!$O:$O,$A15,'全テストケース'!$J:$J,"未実施")</x:f>
        <x:v>3</x:v>
      </x:c>
    </x:row>
    <x:row r="18">
      <x:c r="A18" s="46" t="str">
        <x:v>判定メモ</x:v>
      </x:c>
    </x:row>
    <x:row r="19">
      <x:c r="A19" s="15" t="str">
        <x:v>本番移行判定時は、少なくとも高優先度のNGが0件であること、総合テストの主要業務シナリオがOKであること、セキュリティ・運用テストの重大指摘が解消または移行条件として明文化されていることを確認してください。</x:v>
      </x:c>
    </x:row>
  </x:sheetData>
  <x:mergeCells>
    <x:mergeCell ref="A1:P1"/>
    <x:mergeCell ref="A2:P2"/>
    <x:mergeCell ref="A18:H18"/>
    <x:mergeCell ref="A19:H2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10" hidden="0" customWidth="1"/>
  </x:cols>
  <x:sheetData>
    <x:row r="1" ht="34" customHeight="1">
      <x:c r="A1" s="36" t="str">
        <x:v>テスト実施ルール</x:v>
      </x:c>
    </x:row>
    <x:row r="2" ht="22" customHeight="1">
      <x:c r="A2" s="40" t="str">
        <x:v>人手で実施する前提の記録ルールです。</x:v>
      </x:c>
    </x:row>
    <x:row r="4" ht="30" customHeight="1">
      <x:c r="A4" s="28" t="str">
        <x:v>項目</x:v>
      </x:c>
      <x:c r="B4" s="28" t="str">
        <x:v>ルール</x:v>
      </x:c>
    </x:row>
    <x:row r="5" ht="34" customHeight="1">
      <x:c r="A5" s="11" t="str">
        <x:v>結果欄</x:v>
      </x:c>
      <x:c r="B5" s="11" t="str">
        <x:v>未実施、OK、NG、保留、対象外から選択する。</x:v>
      </x:c>
    </x:row>
    <x:row r="6" ht="34" customHeight="1">
      <x:c r="A6" s="11" t="str">
        <x:v>OK</x:v>
      </x:c>
      <x:c r="B6" s="11" t="str">
        <x:v>手順どおり実施し、期待結果をすべて満たした場合に選択する。</x:v>
      </x:c>
    </x:row>
    <x:row r="7" ht="34" customHeight="1">
      <x:c r="A7" s="11" t="str">
        <x:v>NG</x:v>
      </x:c>
      <x:c r="B7" s="11" t="str">
        <x:v>期待結果と異なる、または確認不能な重大差異がある場合に選択する。不具合票番号を必ず記録する。</x:v>
      </x:c>
    </x:row>
    <x:row r="8" ht="34" customHeight="1">
      <x:c r="A8" s="11" t="str">
        <x:v>保留</x:v>
      </x:c>
      <x:c r="B8" s="11" t="str">
        <x:v>環境未準備、仕様未確定、テストデータ不足などで判断を保留する場合に選択する。理由を備考に記載する。</x:v>
      </x:c>
    </x:row>
    <x:row r="9" ht="34" customHeight="1">
      <x:c r="A9" s="11" t="str">
        <x:v>対象外</x:v>
      </x:c>
      <x:c r="B9" s="11" t="str">
        <x:v>今回の試験範囲外、または構成上実施不要と判断した場合に選択する。理由を備考に記載する。</x:v>
      </x:c>
    </x:row>
    <x:row r="10" ht="34" customHeight="1">
      <x:c r="A10" s="11" t="str">
        <x:v>エビデンス</x:v>
      </x:c>
      <x:c r="B10" s="11" t="str">
        <x:v>スクリーンショット、DB確認結果、ログ抜粋、設定ファイル、操作動画など、第三者が再確認できる資料の場所を記載する。</x:v>
      </x:c>
    </x:row>
    <x:row r="11" ht="34" customHeight="1">
      <x:c r="A11" s="11" t="str">
        <x:v>不具合票</x:v>
      </x:c>
      <x:c r="B11" s="11" t="str">
        <x:v>NGの場合は、別途管理している課題/不具合番号を記載する。本Excel内の不具合記録シートを使ってもよい。</x:v>
      </x:c>
    </x:row>
    <x:row r="12" ht="34" customHeight="1">
      <x:c r="A12" s="11" t="str">
        <x:v>個人情報</x:v>
      </x:c>
      <x:c r="B12" s="11" t="str">
        <x:v>実カードを使う場合、試験エビデンスに個人番号、免許証番号、PIN、不要な住所等を残さない。必要に応じてマスキングする。</x:v>
      </x:c>
    </x:row>
    <x:row r="13" ht="34" customHeight="1">
      <x:c r="A13" s="11" t="str">
        <x:v>本番同等確認</x:v>
      </x:c>
      <x:c r="B13" s="11" t="str">
        <x:v>総合テスト・セキュリティ/運用テストでは、本番相当のネットワーク、端末、DB、権限で確認する。</x:v>
      </x:c>
    </x:row>
  </x:sheetData>
  <x:mergeCells>
    <x:mergeCell ref="A1:P1"/>
    <x:mergeCell ref="A2:P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55" hidden="0" customWidth="1"/>
    <x:col min="4" max="4" width="45" hidden="0" customWidth="1"/>
  </x:cols>
  <x:sheetData>
    <x:row r="1" ht="34" customHeight="1">
      <x:c r="A1" s="36" t="str">
        <x:v>テストデータ・環境</x:v>
      </x:c>
    </x:row>
    <x:row r="2" ht="22" customHeight="1">
      <x:c r="A2" s="40" t="str">
        <x:v>実施前に準備・確認するデータと環境です。</x:v>
      </x:c>
    </x:row>
    <x:row r="4" ht="30" customHeight="1">
      <x:c r="A4" s="28" t="str">
        <x:v>区分</x:v>
      </x:c>
      <x:c r="B4" s="28" t="str">
        <x:v>名称</x:v>
      </x:c>
      <x:c r="C4" s="28" t="str">
        <x:v>内容</x:v>
      </x:c>
      <x:c r="D4" s="28" t="str">
        <x:v>備考</x:v>
      </x:c>
    </x:row>
    <x:row r="5" ht="32" customHeight="1">
      <x:c r="A5" s="11" t="str">
        <x:v>利用者</x:v>
      </x:c>
      <x:c r="B5" s="11" t="str">
        <x:v>管理者ユーザー</x:v>
      </x:c>
      <x:c r="C5" s="11" t="str">
        <x:v>role_code=ADMIN の有効ユーザー</x:v>
      </x:c>
      <x:c r="D5" s="11" t="str">
        <x:v>設定変更・運用確認用</x:v>
      </x:c>
    </x:row>
    <x:row r="6" ht="32" customHeight="1">
      <x:c r="A6" s="11" t="str">
        <x:v>利用者</x:v>
      </x:c>
      <x:c r="B6" s="11" t="str">
        <x:v>一般ユーザーA</x:v>
      </x:c>
      <x:c r="C6" s="11" t="str">
        <x:v>role_code=STAFF の有効ユーザー</x:v>
      </x:c>
      <x:c r="D6" s="11" t="str">
        <x:v>通常登録・一覧確認用</x:v>
      </x:c>
    </x:row>
    <x:row r="7" ht="32" customHeight="1">
      <x:c r="A7" s="11" t="str">
        <x:v>利用者</x:v>
      </x:c>
      <x:c r="B7" s="11" t="str">
        <x:v>一般ユーザーB</x:v>
      </x:c>
      <x:c r="C7" s="11" t="str">
        <x:v>role_code=STAFF の有効ユーザー</x:v>
      </x:c>
      <x:c r="D7" s="11" t="str">
        <x:v>利用者分離確認用</x:v>
      </x:c>
    </x:row>
    <x:row r="8" ht="32" customHeight="1">
      <x:c r="A8" s="11" t="str">
        <x:v>利用者</x:v>
      </x:c>
      <x:c r="B8" s="11" t="str">
        <x:v>無効ユーザー</x:v>
      </x:c>
      <x:c r="C8" s="11" t="str">
        <x:v>is_active=false</x:v>
      </x:c>
      <x:c r="D8" s="11" t="str">
        <x:v>ログイン拒否確認用</x:v>
      </x:c>
    </x:row>
    <x:row r="9" ht="32" customHeight="1">
      <x:c r="A9" s="11" t="str">
        <x:v>カード</x:v>
      </x:c>
      <x:c r="B9" s="11" t="str">
        <x:v>マイナンバーカード</x:v>
      </x:c>
      <x:c r="C9" s="11" t="str">
        <x:v>読取検証可能なカードまたはモック</x:v>
      </x:c>
      <x:c r="D9" s="11" t="str">
        <x:v>実カード利用時は個人情報取扱注意</x:v>
      </x:c>
    </x:row>
    <x:row r="10" ht="32" customHeight="1">
      <x:c r="A10" s="11" t="str">
        <x:v>カード</x:v>
      </x:c>
      <x:c r="B10" s="11" t="str">
        <x:v>運転免許証</x:v>
      </x:c>
      <x:c r="C10" s="11" t="str">
        <x:v>読取検証可能なカードまたはモック</x:v>
      </x:c>
      <x:c r="D10" s="11" t="str">
        <x:v>実カード利用時は暗証番号ロック注意</x:v>
      </x:c>
    </x:row>
    <x:row r="11" ht="32" customHeight="1">
      <x:c r="A11" s="11" t="str">
        <x:v>カード</x:v>
      </x:c>
      <x:c r="B11" s="11" t="str">
        <x:v>非対応NFCカード</x:v>
      </x:c>
      <x:c r="C11" s="11" t="str">
        <x:v>IsoDep非対応または対象外カード</x:v>
      </x:c>
      <x:c r="D11" s="11" t="str">
        <x:v>異常系確認用</x:v>
      </x:c>
    </x:row>
    <x:row r="12" ht="32" customHeight="1">
      <x:c r="A12" s="11" t="str">
        <x:v>端末</x:v>
      </x:c>
      <x:c r="B12" s="11" t="str">
        <x:v>Androidタブレット</x:v>
      </x:c>
      <x:c r="C12" s="11" t="str">
        <x:v>NFC対応、対象OSバージョン</x:v>
      </x:c>
      <x:c r="D12" s="11" t="str">
        <x:v>本番想定機種</x:v>
      </x:c>
    </x:row>
    <x:row r="13" ht="32" customHeight="1">
      <x:c r="A13" s="11" t="str">
        <x:v>サーバー</x:v>
      </x:c>
      <x:c r="B13" s="11" t="str">
        <x:v>Laravelサーバー</x:v>
      </x:c>
      <x:c r="C13" s="11" t="str">
        <x:v>PHP/Laravel/Oracle接続設定済み</x:v>
      </x:c>
      <x:c r="D13" s="11" t="str">
        <x:v>本番相当設定</x:v>
      </x:c>
    </x:row>
    <x:row r="14" ht="32" customHeight="1">
      <x:c r="A14" s="11" t="str">
        <x:v>DB</x:v>
      </x:c>
      <x:c r="B14" s="11" t="str">
        <x:v>Oracle DB</x:v>
      </x:c>
      <x:c r="C14" s="11" t="str">
        <x:v>users、card_records、settings 等</x:v>
      </x:c>
      <x:c r="D14" s="11" t="str">
        <x:v>バックアップ/リストア検証にも使用</x:v>
      </x:c>
    </x:row>
    <x:row r="15" ht="32" customHeight="1">
      <x:c r="A15" s="11" t="str">
        <x:v>ネットワーク</x:v>
      </x:c>
      <x:c r="B15" s="11" t="str">
        <x:v>イントラネット</x:v>
      </x:c>
      <x:c r="C15" s="11" t="str">
        <x:v>タブレットからサーバーへ疎通可能</x:v>
      </x:c>
      <x:c r="D15" s="11" t="str">
        <x:v>HTTP/HTTPS方針を明確化</x:v>
      </x:c>
    </x:row>
    <x:row r="16" ht="32" customHeight="1">
      <x:c r="A16" s="11" t="str">
        <x:v>ツール</x:v>
      </x:c>
      <x:c r="B16" s="11" t="str">
        <x:v>API確認ツール</x:v>
      </x:c>
      <x:c r="C16" s="11" t="str">
        <x:v>curl、Postman相当、ブラウザDevTools等</x:v>
      </x:c>
      <x:c r="D16" s="11" t="str">
        <x:v>CSRF/認可/異常系確認用</x:v>
      </x:c>
    </x:row>
    <x:row r="17" ht="32" customHeight="1">
      <x:c r="A17" s="11" t="str">
        <x:v>エビデンス</x:v>
      </x:c>
      <x:c r="B17" s="11" t="str">
        <x:v>保存先</x:v>
      </x:c>
      <x:c r="C17" s="11" t="str">
        <x:v>試験証跡の格納先フォルダ/URL</x:v>
      </x:c>
      <x:c r="D17" s="11" t="str">
        <x:v>個人情報マスキングルールを適用</x:v>
      </x:c>
    </x:row>
  </x:sheetData>
  <x:mergeCells>
    <x:mergeCell ref="A1:P1"/>
    <x:mergeCell ref="A2:P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10" hidden="0" customWidth="1"/>
    <x:col min="3" max="3" width="15" hidden="0" customWidth="1"/>
    <x:col min="4" max="4" width="16" hidden="0" customWidth="1"/>
    <x:col min="5" max="5" width="22" hidden="0" customWidth="1"/>
    <x:col min="6" max="6" width="24" hidden="0" customWidth="1"/>
    <x:col min="7" max="7" width="30" hidden="0" customWidth="1"/>
    <x:col min="8" max="8" width="38" hidden="0" customWidth="1"/>
    <x:col min="9" max="9" width="40" hidden="0" customWidth="1"/>
    <x:col min="10" max="10" width="12" hidden="0" customWidth="1"/>
    <x:col min="11" max="11" width="12" hidden="0" customWidth="1"/>
    <x:col min="12" max="12" width="14" hidden="0" customWidth="1"/>
    <x:col min="13" max="13" width="20" hidden="0" customWidth="1"/>
    <x:col min="14" max="14" width="14" hidden="0" customWidth="1"/>
    <x:col min="15" max="15" width="10" hidden="0" customWidth="1"/>
    <x:col min="16" max="16" width="22" hidden="0" customWidth="1"/>
  </x:cols>
  <x:sheetData>
    <x:row r="1" ht="30" customHeight="1">
      <x:c r="A1" s="28" t="str">
        <x:v>No.</x:v>
      </x:c>
      <x:c r="B1" s="28" t="str">
        <x:v>テストID</x:v>
      </x:c>
      <x:c r="C1" s="28" t="str">
        <x:v>工程</x:v>
      </x:c>
      <x:c r="D1" s="28" t="str">
        <x:v>大分類</x:v>
      </x:c>
      <x:c r="E1" s="28" t="str">
        <x:v>対象機能/モジュール</x:v>
      </x:c>
      <x:c r="F1" s="28" t="str">
        <x:v>試験観点</x:v>
      </x:c>
      <x:c r="G1" s="28" t="str">
        <x:v>前提条件</x:v>
      </x:c>
      <x:c r="H1" s="28" t="str">
        <x:v>操作手順</x:v>
      </x:c>
      <x:c r="I1" s="28" t="str">
        <x:v>確認内容・期待結果</x:v>
      </x:c>
      <x:c r="J1" s="28" t="str">
        <x:v>結果</x:v>
      </x:c>
      <x:c r="K1" s="28" t="str">
        <x:v>実施日</x:v>
      </x:c>
      <x:c r="L1" s="28" t="str">
        <x:v>実施者</x:v>
      </x:c>
      <x:c r="M1" s="28" t="str">
        <x:v>エビデンス</x:v>
      </x:c>
      <x:c r="N1" s="28" t="str">
        <x:v>不具合票</x:v>
      </x:c>
      <x:c r="O1" s="28" t="str">
        <x:v>優先度</x:v>
      </x:c>
      <x:c r="P1" s="28" t="str">
        <x:v>備考</x:v>
      </x:c>
    </x:row>
    <x:row r="2" ht="54" customHeight="1">
      <x:c r="A2" s="54" t="n">
        <x:v>1</x:v>
      </x:c>
      <x:c r="B2" s="54" t="str">
        <x:v>UT-001</x:v>
      </x:c>
      <x:c r="C2" s="54" t="str">
        <x:v>単体テスト</x:v>
      </x:c>
      <x:c r="D2" s="52" t="str">
        <x:v>Android</x:v>
      </x:c>
      <x:c r="E2" s="52" t="str">
        <x:v>NfcConfig.load</x:v>
      </x:c>
      <x:c r="F2" s="52" t="str">
        <x:v>設定ファイルを正常読込できること</x:v>
      </x:c>
      <x:c r="G2" s="52" t="str">
        <x:v>assets/nfc_config.json に有効なJSONを配置</x:v>
      </x:c>
      <x:c r="H2" s="52" t="str">
        <x:v>APKを起動し、Bridge.getConfig() またはデバッグログで設定値を確認する</x:v>
      </x:c>
      <x:c r="I2" s="52" t="str">
        <x:v>server_url、collect_* の各値がJSONの内容通りに読み込まれる</x:v>
      </x:c>
      <x:c r="J2" s="54" t="str">
        <x:v>未実施</x:v>
      </x:c>
      <x:c r="K2" s="56" t="str"/>
      <x:c r="L2" s="54" t="str"/>
      <x:c r="M2" s="54" t="str"/>
      <x:c r="N2" s="54" t="str"/>
      <x:c r="O2" s="54" t="str">
        <x:v>高</x:v>
      </x:c>
      <x:c r="P2" s="52" t="str"/>
    </x:row>
    <x:row r="3" ht="54" customHeight="1">
      <x:c r="A3" s="54" t="n">
        <x:v>2</x:v>
      </x:c>
      <x:c r="B3" s="54" t="str">
        <x:v>UT-002</x:v>
      </x:c>
      <x:c r="C3" s="54" t="str">
        <x:v>単体テスト</x:v>
      </x:c>
      <x:c r="D3" s="52" t="str">
        <x:v>Android</x:v>
      </x:c>
      <x:c r="E3" s="52" t="str">
        <x:v>NfcConfig.load</x:v>
      </x:c>
      <x:c r="F3" s="52" t="str">
        <x:v>設定ファイル欠落時に安全なデフォルトで起動すること</x:v>
      </x:c>
      <x:c r="G3" s="52" t="str">
        <x:v>assets/nfc_config.json を欠落/名称変更したビルドを用意</x:v>
      </x:c>
      <x:c r="H3" s="52" t="str">
        <x:v>APKを起動し、設定値を確認する</x:v>
      </x:c>
      <x:c r="I3" s="52" t="str">
        <x:v>例外終了せず、server_url は既定値、マイナンバー/免許証番号収集は false になる</x:v>
      </x:c>
      <x:c r="J3" s="54" t="str">
        <x:v>未実施</x:v>
      </x:c>
      <x:c r="K3" s="56" t="str"/>
      <x:c r="L3" s="54" t="str"/>
      <x:c r="M3" s="54" t="str"/>
      <x:c r="N3" s="54" t="str"/>
      <x:c r="O3" s="54" t="str">
        <x:v>高</x:v>
      </x:c>
      <x:c r="P3" s="52" t="str"/>
    </x:row>
    <x:row r="4" ht="54" customHeight="1">
      <x:c r="A4" s="54" t="n">
        <x:v>3</x:v>
      </x:c>
      <x:c r="B4" s="54" t="str">
        <x:v>UT-003</x:v>
      </x:c>
      <x:c r="C4" s="54" t="str">
        <x:v>単体テスト</x:v>
      </x:c>
      <x:c r="D4" s="52" t="str">
        <x:v>Android</x:v>
      </x:c>
      <x:c r="E4" s="52" t="str">
        <x:v>NfcConfig.load</x:v>
      </x:c>
      <x:c r="F4" s="52" t="str">
        <x:v>不正JSON時に安全なデフォルトで起動すること</x:v>
      </x:c>
      <x:c r="G4" s="52" t="str">
        <x:v>assets/nfc_config.json を不正JSONにしたビルドを用意</x:v>
      </x:c>
      <x:c r="H4" s="52" t="str">
        <x:v>APKを起動し、設定値を確認する</x:v>
      </x:c>
      <x:c r="I4" s="52" t="str">
        <x:v>例外終了せず、収集禁止項目が false になる</x:v>
      </x:c>
      <x:c r="J4" s="54" t="str">
        <x:v>未実施</x:v>
      </x:c>
      <x:c r="K4" s="56" t="str"/>
      <x:c r="L4" s="54" t="str"/>
      <x:c r="M4" s="54" t="str"/>
      <x:c r="N4" s="54" t="str"/>
      <x:c r="O4" s="54" t="str">
        <x:v>高</x:v>
      </x:c>
      <x:c r="P4" s="52" t="str"/>
    </x:row>
    <x:row r="5" ht="54" customHeight="1">
      <x:c r="A5" s="54" t="n">
        <x:v>4</x:v>
      </x:c>
      <x:c r="B5" s="54" t="str">
        <x:v>UT-004</x:v>
      </x:c>
      <x:c r="C5" s="54" t="str">
        <x:v>単体テスト</x:v>
      </x:c>
      <x:c r="D5" s="52" t="str">
        <x:v>Android</x:v>
      </x:c>
      <x:c r="E5" s="52" t="str">
        <x:v>NfcConfig</x:v>
      </x:c>
      <x:c r="F5" s="52" t="str">
        <x:v>収集禁止フィールドが false の場合、カード読取処理で対象EFを読まないこと</x:v>
      </x:c>
      <x:c r="G5" s="52" t="str">
        <x:v>collect_my_number=false、collect_license_number=false</x:v>
      </x:c>
      <x:c r="H5" s="52" t="str">
        <x:v>APDU通信ログまたはデバッグ用モックで対象EF読取の有無を確認する</x:v>
      </x:c>
      <x:c r="I5" s="52" t="str">
        <x:v>個人番号/免許証番号に該当する読取処理がスキップされる</x:v>
      </x:c>
      <x:c r="J5" s="54" t="str">
        <x:v>未実施</x:v>
      </x:c>
      <x:c r="K5" s="56" t="str"/>
      <x:c r="L5" s="54" t="str"/>
      <x:c r="M5" s="54" t="str"/>
      <x:c r="N5" s="54" t="str"/>
      <x:c r="O5" s="54" t="str">
        <x:v>高</x:v>
      </x:c>
      <x:c r="P5" s="52" t="str"/>
    </x:row>
    <x:row r="6" ht="54" customHeight="1">
      <x:c r="A6" s="54" t="n">
        <x:v>5</x:v>
      </x:c>
      <x:c r="B6" s="54" t="str">
        <x:v>UT-005</x:v>
      </x:c>
      <x:c r="C6" s="54" t="str">
        <x:v>単体テスト</x:v>
      </x:c>
      <x:c r="D6" s="52" t="str">
        <x:v>Android</x:v>
      </x:c>
      <x:c r="E6" s="52" t="str">
        <x:v>AndroidManifest</x:v>
      </x:c>
      <x:c r="F6" s="52" t="str">
        <x:v>NFC必須端末として定義されていること</x:v>
      </x:c>
      <x:c r="G6" s="52" t="str">
        <x:v>AndroidManifest.xml を確認可能な状態</x:v>
      </x:c>
      <x:c r="H6" s="52" t="str">
        <x:v>APK情報またはManifestを確認する</x:v>
      </x:c>
      <x:c r="I6" s="52" t="str">
        <x:v>android.hardware.nfc required=true、NFC権限、INTERNET権限が定義されている</x:v>
      </x:c>
      <x:c r="J6" s="54" t="str">
        <x:v>未実施</x:v>
      </x:c>
      <x:c r="K6" s="56" t="str"/>
      <x:c r="L6" s="54" t="str"/>
      <x:c r="M6" s="54" t="str"/>
      <x:c r="N6" s="54" t="str"/>
      <x:c r="O6" s="54" t="str">
        <x:v>中</x:v>
      </x:c>
      <x:c r="P6" s="52" t="str"/>
    </x:row>
    <x:row r="7" ht="54" customHeight="1">
      <x:c r="A7" s="54" t="n">
        <x:v>6</x:v>
      </x:c>
      <x:c r="B7" s="54" t="str">
        <x:v>UT-006</x:v>
      </x:c>
      <x:c r="C7" s="54" t="str">
        <x:v>単体テスト</x:v>
      </x:c>
      <x:c r="D7" s="52" t="str">
        <x:v>Android</x:v>
      </x:c>
      <x:c r="E7" s="52" t="str">
        <x:v>NfcBridgeActivity WebView設定</x:v>
      </x:c>
      <x:c r="F7" s="52" t="str">
        <x:v>WebViewの保存抑止設定が有効であること</x:v>
      </x:c>
      <x:c r="G7" s="52" t="str">
        <x:v>APKを起動</x:v>
      </x:c>
      <x:c r="H7" s="52" t="str">
        <x:v>WebView設定をコード/実機挙動で確認する</x:v>
      </x:c>
      <x:c r="I7" s="52" t="str">
        <x:v>DOM Storage、Database、File Access が無効で、不要なローカル保存が行われない</x:v>
      </x:c>
      <x:c r="J7" s="54" t="str">
        <x:v>未実施</x:v>
      </x:c>
      <x:c r="K7" s="56" t="str"/>
      <x:c r="L7" s="54" t="str"/>
      <x:c r="M7" s="54" t="str"/>
      <x:c r="N7" s="54" t="str"/>
      <x:c r="O7" s="54" t="str">
        <x:v>高</x:v>
      </x:c>
      <x:c r="P7" s="52" t="str"/>
    </x:row>
    <x:row r="8" ht="54" customHeight="1">
      <x:c r="A8" s="54" t="n">
        <x:v>7</x:v>
      </x:c>
      <x:c r="B8" s="54" t="str">
        <x:v>UT-007</x:v>
      </x:c>
      <x:c r="C8" s="54" t="str">
        <x:v>単体テスト</x:v>
      </x:c>
      <x:c r="D8" s="52" t="str">
        <x:v>Android</x:v>
      </x:c>
      <x:c r="E8" s="52" t="str">
        <x:v>NfcBridgeActivity</x:v>
      </x:c>
      <x:c r="F8" s="52" t="str">
        <x:v>起動時に設定URLを表示できること</x:v>
      </x:c>
      <x:c r="G8" s="52" t="str">
        <x:v>server_url に疎通可能なLaravel URLを設定</x:v>
      </x:c>
      <x:c r="H8" s="52" t="str">
        <x:v>APKを起動する</x:v>
      </x:c>
      <x:c r="I8" s="52" t="str">
        <x:v>WebViewが設定URLを開き、ログイン画面またはスキャン画面が表示される</x:v>
      </x:c>
      <x:c r="J8" s="54" t="str">
        <x:v>未実施</x:v>
      </x:c>
      <x:c r="K8" s="56" t="str"/>
      <x:c r="L8" s="54" t="str"/>
      <x:c r="M8" s="54" t="str"/>
      <x:c r="N8" s="54" t="str"/>
      <x:c r="O8" s="54" t="str">
        <x:v>高</x:v>
      </x:c>
      <x:c r="P8" s="52" t="str"/>
    </x:row>
    <x:row r="9" ht="54" customHeight="1">
      <x:c r="A9" s="54" t="n">
        <x:v>8</x:v>
      </x:c>
      <x:c r="B9" s="54" t="str">
        <x:v>UT-008</x:v>
      </x:c>
      <x:c r="C9" s="54" t="str">
        <x:v>単体テスト</x:v>
      </x:c>
      <x:c r="D9" s="52" t="str">
        <x:v>Android</x:v>
      </x:c>
      <x:c r="E9" s="52" t="str">
        <x:v>NfcBridgeActivity</x:v>
      </x:c>
      <x:c r="F9" s="52" t="str">
        <x:v>NFC未対応カード検出時にエラー表示できること</x:v>
      </x:c>
      <x:c r="G9" s="52" t="str">
        <x:v>IsoDep非対応カードまたは未対応タグを用意</x:v>
      </x:c>
      <x:c r="H9" s="52" t="str">
        <x:v>カードをタッチする</x:v>
      </x:c>
      <x:c r="I9" s="52" t="str">
        <x:v>画面に対応不可メッセージが表示され、アプリが落ちない</x:v>
      </x:c>
      <x:c r="J9" s="54" t="str">
        <x:v>未実施</x:v>
      </x:c>
      <x:c r="K9" s="56" t="str"/>
      <x:c r="L9" s="54" t="str"/>
      <x:c r="M9" s="54" t="str"/>
      <x:c r="N9" s="54" t="str"/>
      <x:c r="O9" s="54" t="str">
        <x:v>中</x:v>
      </x:c>
      <x:c r="P9" s="52" t="str"/>
    </x:row>
    <x:row r="10" ht="54" customHeight="1">
      <x:c r="A10" s="54" t="n">
        <x:v>9</x:v>
      </x:c>
      <x:c r="B10" s="54" t="str">
        <x:v>UT-009</x:v>
      </x:c>
      <x:c r="C10" s="54" t="str">
        <x:v>単体テスト</x:v>
      </x:c>
      <x:c r="D10" s="52" t="str">
        <x:v>Android</x:v>
      </x:c>
      <x:c r="E10" s="52" t="str">
        <x:v>NfcBridgeActivity</x:v>
      </x:c>
      <x:c r="F10" s="52" t="str">
        <x:v>カード種別不明時に処理を中断できること</x:v>
      </x:c>
      <x:c r="G10" s="52" t="str">
        <x:v>未知のISO-DEPカードを用意</x:v>
      </x:c>
      <x:c r="H10" s="52" t="str">
        <x:v>カードをタッチする</x:v>
      </x:c>
      <x:c r="I10" s="52" t="str">
        <x:v>対応カードを検出できない旨を表示し、PIN入力/読取に進まない</x:v>
      </x:c>
      <x:c r="J10" s="54" t="str">
        <x:v>未実施</x:v>
      </x:c>
      <x:c r="K10" s="56" t="str"/>
      <x:c r="L10" s="54" t="str"/>
      <x:c r="M10" s="54" t="str"/>
      <x:c r="N10" s="54" t="str"/>
      <x:c r="O10" s="54" t="str">
        <x:v>中</x:v>
      </x:c>
      <x:c r="P10" s="52" t="str"/>
    </x:row>
    <x:row r="11" ht="54" customHeight="1">
      <x:c r="A11" s="54" t="n">
        <x:v>10</x:v>
      </x:c>
      <x:c r="B11" s="54" t="str">
        <x:v>UT-010</x:v>
      </x:c>
      <x:c r="C11" s="54" t="str">
        <x:v>単体テスト</x:v>
      </x:c>
      <x:c r="D11" s="52" t="str">
        <x:v>Android</x:v>
      </x:c>
      <x:c r="E11" s="52" t="str">
        <x:v>NfcBridgeActivity</x:v>
      </x:c>
      <x:c r="F11" s="52" t="str">
        <x:v>PIN入力キャンセル時に保留情報を破棄できること</x:v>
      </x:c>
      <x:c r="G11" s="52" t="str">
        <x:v>対応カードをタッチしPINダイアログを表示</x:v>
      </x:c>
      <x:c r="H11" s="52" t="str">
        <x:v>キャンセルを押し、再度カードをタッチする</x:v>
      </x:c>
      <x:c r="I11" s="52" t="str">
        <x:v>前回カード情報が残らず、新しい読取待ちに戻る</x:v>
      </x:c>
      <x:c r="J11" s="54" t="str">
        <x:v>未実施</x:v>
      </x:c>
      <x:c r="K11" s="56" t="str"/>
      <x:c r="L11" s="54" t="str"/>
      <x:c r="M11" s="54" t="str"/>
      <x:c r="N11" s="54" t="str"/>
      <x:c r="O11" s="54" t="str">
        <x:v>中</x:v>
      </x:c>
      <x:c r="P11" s="52" t="str"/>
    </x:row>
    <x:row r="12" ht="54" customHeight="1">
      <x:c r="A12" s="54" t="n">
        <x:v>11</x:v>
      </x:c>
      <x:c r="B12" s="54" t="str">
        <x:v>UT-011</x:v>
      </x:c>
      <x:c r="C12" s="54" t="str">
        <x:v>単体テスト</x:v>
      </x:c>
      <x:c r="D12" s="52" t="str">
        <x:v>Android</x:v>
      </x:c>
      <x:c r="E12" s="52" t="str">
        <x:v>NfcBridgeActivity</x:v>
      </x:c>
      <x:c r="F12" s="52" t="str">
        <x:v>読取完了後に保留中のIsoDep/CardTypeを破棄すること</x:v>
      </x:c>
      <x:c r="G12" s="52" t="str">
        <x:v>正常読取できるカードを用意</x:v>
      </x:c>
      <x:c r="H12" s="52" t="str">
        <x:v>読取完了後、同じ画面で再度送信やキャンセルを操作する</x:v>
      </x:c>
      <x:c r="I12" s="52" t="str">
        <x:v>古いカード接続情報を再利用せず、再読取が必要になる</x:v>
      </x:c>
      <x:c r="J12" s="54" t="str">
        <x:v>未実施</x:v>
      </x:c>
      <x:c r="K12" s="56" t="str"/>
      <x:c r="L12" s="54" t="str"/>
      <x:c r="M12" s="54" t="str"/>
      <x:c r="N12" s="54" t="str"/>
      <x:c r="O12" s="54" t="str">
        <x:v>高</x:v>
      </x:c>
      <x:c r="P12" s="52" t="str"/>
    </x:row>
    <x:row r="13" ht="54" customHeight="1">
      <x:c r="A13" s="54" t="n">
        <x:v>12</x:v>
      </x:c>
      <x:c r="B13" s="54" t="str">
        <x:v>UT-012</x:v>
      </x:c>
      <x:c r="C13" s="54" t="str">
        <x:v>単体テスト</x:v>
      </x:c>
      <x:c r="D13" s="52" t="str">
        <x:v>Android</x:v>
      </x:c>
      <x:c r="E13" s="52" t="str">
        <x:v>NfcBridgeActivity JS bridge</x:v>
      </x:c>
      <x:c r="F13" s="52" t="str">
        <x:v>startScan が呼ばれても例外にならないこと</x:v>
      </x:c>
      <x:c r="G13" s="52" t="str">
        <x:v>スキャン画面を表示</x:v>
      </x:c>
      <x:c r="H13" s="52" t="str">
        <x:v>画面初期化時またはDevToolsからBridge.startScan()を呼ぶ</x:v>
      </x:c>
      <x:c r="I13" s="52" t="str">
        <x:v>例外が出ず、NFC待機状態が継続する</x:v>
      </x:c>
      <x:c r="J13" s="54" t="str">
        <x:v>未実施</x:v>
      </x:c>
      <x:c r="K13" s="56" t="str"/>
      <x:c r="L13" s="54" t="str"/>
      <x:c r="M13" s="54" t="str"/>
      <x:c r="N13" s="54" t="str"/>
      <x:c r="O13" s="54" t="str">
        <x:v>中</x:v>
      </x:c>
      <x:c r="P13" s="52" t="str"/>
    </x:row>
    <x:row r="14" ht="54" customHeight="1">
      <x:c r="A14" s="54" t="n">
        <x:v>13</x:v>
      </x:c>
      <x:c r="B14" s="54" t="str">
        <x:v>UT-013</x:v>
      </x:c>
      <x:c r="C14" s="54" t="str">
        <x:v>単体テスト</x:v>
      </x:c>
      <x:c r="D14" s="52" t="str">
        <x:v>Android</x:v>
      </x:c>
      <x:c r="E14" s="52" t="str">
        <x:v>NfcBridgeActivity JS bridge</x:v>
      </x:c>
      <x:c r="F14" s="52" t="str">
        <x:v>submitPin がUIスレッド経由で読取処理へ渡ること</x:v>
      </x:c>
      <x:c r="G14" s="52" t="str">
        <x:v>対応カード検出済み</x:v>
      </x:c>
      <x:c r="H14" s="52" t="str">
        <x:v>Web側またはネイティブダイアログから4桁PINを渡す</x:v>
      </x:c>
      <x:c r="I14" s="52" t="str">
        <x:v>読取中表示に遷移し、カードリーダ処理が開始される</x:v>
      </x:c>
      <x:c r="J14" s="54" t="str">
        <x:v>未実施</x:v>
      </x:c>
      <x:c r="K14" s="56" t="str"/>
      <x:c r="L14" s="54" t="str"/>
      <x:c r="M14" s="54" t="str"/>
      <x:c r="N14" s="54" t="str"/>
      <x:c r="O14" s="54" t="str">
        <x:v>高</x:v>
      </x:c>
      <x:c r="P14" s="52" t="str"/>
    </x:row>
    <x:row r="15" ht="54" customHeight="1">
      <x:c r="A15" s="54" t="n">
        <x:v>14</x:v>
      </x:c>
      <x:c r="B15" s="54" t="str">
        <x:v>UT-014</x:v>
      </x:c>
      <x:c r="C15" s="54" t="str">
        <x:v>単体テスト</x:v>
      </x:c>
      <x:c r="D15" s="52" t="str">
        <x:v>Android</x:v>
      </x:c>
      <x:c r="E15" s="52" t="str">
        <x:v>NfcBridgeActivity JS bridge</x:v>
      </x:c>
      <x:c r="F15" s="52" t="str">
        <x:v>cancelScan が保留情報を破棄すること</x:v>
      </x:c>
      <x:c r="G15" s="52" t="str">
        <x:v>対応カード検出済み</x:v>
      </x:c>
      <x:c r="H15" s="52" t="str">
        <x:v>Bridge.cancelScan() を呼ぶ</x:v>
      </x:c>
      <x:c r="I15" s="52" t="str">
        <x:v>保留中のカード情報が破棄され、以後submitPinしても読取されない</x:v>
      </x:c>
      <x:c r="J15" s="54" t="str">
        <x:v>未実施</x:v>
      </x:c>
      <x:c r="K15" s="56" t="str"/>
      <x:c r="L15" s="54" t="str"/>
      <x:c r="M15" s="54" t="str"/>
      <x:c r="N15" s="54" t="str"/>
      <x:c r="O15" s="54" t="str">
        <x:v>中</x:v>
      </x:c>
      <x:c r="P15" s="52" t="str"/>
    </x:row>
    <x:row r="16" ht="54" customHeight="1">
      <x:c r="A16" s="54" t="n">
        <x:v>15</x:v>
      </x:c>
      <x:c r="B16" s="54" t="str">
        <x:v>UT-015</x:v>
      </x:c>
      <x:c r="C16" s="54" t="str">
        <x:v>単体テスト</x:v>
      </x:c>
      <x:c r="D16" s="52" t="str">
        <x:v>Android NFC</x:v>
      </x:c>
      <x:c r="E16" s="52" t="str">
        <x:v>CardTypeDetector</x:v>
      </x:c>
      <x:c r="F16" s="52" t="str">
        <x:v>マイナンバーカードを識別できること</x:v>
      </x:c>
      <x:c r="G16" s="52" t="str">
        <x:v>実カードまたは検証用カードを用意</x:v>
      </x:c>
      <x:c r="H16" s="52" t="str">
        <x:v>カードをタッチする</x:v>
      </x:c>
      <x:c r="I16" s="52" t="str">
        <x:v>マイナンバーカードとしてPIN入力ダイアログが表示される</x:v>
      </x:c>
      <x:c r="J16" s="54" t="str">
        <x:v>未実施</x:v>
      </x:c>
      <x:c r="K16" s="56" t="str"/>
      <x:c r="L16" s="54" t="str"/>
      <x:c r="M16" s="54" t="str"/>
      <x:c r="N16" s="54" t="str"/>
      <x:c r="O16" s="54" t="str">
        <x:v>高</x:v>
      </x:c>
      <x:c r="P16" s="52" t="str"/>
    </x:row>
    <x:row r="17" ht="54" customHeight="1">
      <x:c r="A17" s="54" t="n">
        <x:v>16</x:v>
      </x:c>
      <x:c r="B17" s="54" t="str">
        <x:v>UT-016</x:v>
      </x:c>
      <x:c r="C17" s="54" t="str">
        <x:v>単体テスト</x:v>
      </x:c>
      <x:c r="D17" s="52" t="str">
        <x:v>Android NFC</x:v>
      </x:c>
      <x:c r="E17" s="52" t="str">
        <x:v>CardTypeDetector</x:v>
      </x:c>
      <x:c r="F17" s="52" t="str">
        <x:v>運転免許証を識別できること</x:v>
      </x:c>
      <x:c r="G17" s="52" t="str">
        <x:v>実カードまたは検証用カードを用意</x:v>
      </x:c>
      <x:c r="H17" s="52" t="str">
        <x:v>カードをタッチする</x:v>
      </x:c>
      <x:c r="I17" s="52" t="str">
        <x:v>運転免許証としてPIN入力ダイアログが表示される</x:v>
      </x:c>
      <x:c r="J17" s="54" t="str">
        <x:v>未実施</x:v>
      </x:c>
      <x:c r="K17" s="56" t="str"/>
      <x:c r="L17" s="54" t="str"/>
      <x:c r="M17" s="54" t="str"/>
      <x:c r="N17" s="54" t="str"/>
      <x:c r="O17" s="54" t="str">
        <x:v>高</x:v>
      </x:c>
      <x:c r="P17" s="52" t="str"/>
    </x:row>
    <x:row r="18" ht="54" customHeight="1">
      <x:c r="A18" s="54" t="n">
        <x:v>17</x:v>
      </x:c>
      <x:c r="B18" s="54" t="str">
        <x:v>UT-017</x:v>
      </x:c>
      <x:c r="C18" s="54" t="str">
        <x:v>単体テスト</x:v>
      </x:c>
      <x:c r="D18" s="52" t="str">
        <x:v>Android NFC</x:v>
      </x:c>
      <x:c r="E18" s="52" t="str">
        <x:v>MyNumberCardReader</x:v>
      </x:c>
      <x:c r="F18" s="52" t="str">
        <x:v>PIN未入力時に読取を拒否すること</x:v>
      </x:c>
      <x:c r="G18" s="52" t="str">
        <x:v>マイナンバーカード検出済み</x:v>
      </x:c>
      <x:c r="H18" s="52" t="str">
        <x:v>PINを空欄で読取操作する</x:v>
      </x:c>
      <x:c r="I18" s="52" t="str">
        <x:v>PIN入力を求めるエラーとなり、EF読取へ進まない</x:v>
      </x:c>
      <x:c r="J18" s="54" t="str">
        <x:v>未実施</x:v>
      </x:c>
      <x:c r="K18" s="56" t="str"/>
      <x:c r="L18" s="54" t="str"/>
      <x:c r="M18" s="54" t="str"/>
      <x:c r="N18" s="54" t="str"/>
      <x:c r="O18" s="54" t="str">
        <x:v>高</x:v>
      </x:c>
      <x:c r="P18" s="52" t="str"/>
    </x:row>
    <x:row r="19" ht="54" customHeight="1">
      <x:c r="A19" s="54" t="n">
        <x:v>18</x:v>
      </x:c>
      <x:c r="B19" s="54" t="str">
        <x:v>UT-018</x:v>
      </x:c>
      <x:c r="C19" s="54" t="str">
        <x:v>単体テスト</x:v>
      </x:c>
      <x:c r="D19" s="52" t="str">
        <x:v>Android NFC</x:v>
      </x:c>
      <x:c r="E19" s="52" t="str">
        <x:v>MyNumberCardReader</x:v>
      </x:c>
      <x:c r="F19" s="52" t="str">
        <x:v>PIN誤り時に残回数を表示できること</x:v>
      </x:c>
      <x:c r="G19" s="52" t="str">
        <x:v>マイナンバーカード検出済み</x:v>
      </x:c>
      <x:c r="H19" s="52" t="str">
        <x:v>誤った4桁PINを入力する</x:v>
      </x:c>
      <x:c r="I19" s="52" t="str">
        <x:v>残試行回数を含むエラーが表示され、取得データは返らない</x:v>
      </x:c>
      <x:c r="J19" s="54" t="str">
        <x:v>未実施</x:v>
      </x:c>
      <x:c r="K19" s="56" t="str"/>
      <x:c r="L19" s="54" t="str"/>
      <x:c r="M19" s="54" t="str"/>
      <x:c r="N19" s="54" t="str"/>
      <x:c r="O19" s="54" t="str">
        <x:v>高</x:v>
      </x:c>
      <x:c r="P19" s="52" t="str">
        <x:v>実カードのロックに注意して実施</x:v>
      </x:c>
    </x:row>
    <x:row r="20" ht="54" customHeight="1">
      <x:c r="A20" s="54" t="n">
        <x:v>19</x:v>
      </x:c>
      <x:c r="B20" s="54" t="str">
        <x:v>UT-019</x:v>
      </x:c>
      <x:c r="C20" s="54" t="str">
        <x:v>単体テスト</x:v>
      </x:c>
      <x:c r="D20" s="52" t="str">
        <x:v>Android NFC</x:v>
      </x:c>
      <x:c r="E20" s="52" t="str">
        <x:v>MyNumberCardReader</x:v>
      </x:c>
      <x:c r="F20" s="52" t="str">
        <x:v>PINブロック時に適切なエラーを返すこと</x:v>
      </x:c>
      <x:c r="G20" s="52" t="str">
        <x:v>ブロック状態の検証カードまたはモックを用意</x:v>
      </x:c>
      <x:c r="H20" s="52" t="str">
        <x:v>読取を実行する</x:v>
      </x:c>
      <x:c r="I20" s="52" t="str">
        <x:v>PINブロックのメッセージが表示され、読取を中断する</x:v>
      </x:c>
      <x:c r="J20" s="54" t="str">
        <x:v>未実施</x:v>
      </x:c>
      <x:c r="K20" s="56" t="str"/>
      <x:c r="L20" s="54" t="str"/>
      <x:c r="M20" s="54" t="str"/>
      <x:c r="N20" s="54" t="str"/>
      <x:c r="O20" s="54" t="str">
        <x:v>高</x:v>
      </x:c>
      <x:c r="P20" s="52" t="str"/>
    </x:row>
    <x:row r="21" ht="54" customHeight="1">
      <x:c r="A21" s="54" t="n">
        <x:v>20</x:v>
      </x:c>
      <x:c r="B21" s="54" t="str">
        <x:v>UT-020</x:v>
      </x:c>
      <x:c r="C21" s="54" t="str">
        <x:v>単体テスト</x:v>
      </x:c>
      <x:c r="D21" s="52" t="str">
        <x:v>Android NFC</x:v>
      </x:c>
      <x:c r="E21" s="52" t="str">
        <x:v>MyNumberCardReader</x:v>
      </x:c>
      <x:c r="F21" s="52" t="str">
        <x:v>氏名・生年月日を正常取得できること</x:v>
      </x:c>
      <x:c r="G21" s="52" t="str">
        <x:v>収集設定はデフォルト、正しいPINを用意</x:v>
      </x:c>
      <x:c r="H21" s="52" t="str">
        <x:v>マイナンバーカードを読み取る</x:v>
      </x:c>
      <x:c r="I21" s="52" t="str">
        <x:v>氏名、生年月日が確認画面へ表示される</x:v>
      </x:c>
      <x:c r="J21" s="54" t="str">
        <x:v>未実施</x:v>
      </x:c>
      <x:c r="K21" s="56" t="str"/>
      <x:c r="L21" s="54" t="str"/>
      <x:c r="M21" s="54" t="str"/>
      <x:c r="N21" s="54" t="str"/>
      <x:c r="O21" s="54" t="str">
        <x:v>高</x:v>
      </x:c>
      <x:c r="P21" s="52" t="str"/>
    </x:row>
    <x:row r="22" ht="54" customHeight="1">
      <x:c r="A22" s="54" t="n">
        <x:v>21</x:v>
      </x:c>
      <x:c r="B22" s="54" t="str">
        <x:v>UT-021</x:v>
      </x:c>
      <x:c r="C22" s="54" t="str">
        <x:v>単体テスト</x:v>
      </x:c>
      <x:c r="D22" s="52" t="str">
        <x:v>Android NFC</x:v>
      </x:c>
      <x:c r="E22" s="52" t="str">
        <x:v>MyNumberCardReader</x:v>
      </x:c>
      <x:c r="F22" s="52" t="str">
        <x:v>住所収集OFF時に住所を読まない/返さないこと</x:v>
      </x:c>
      <x:c r="G22" s="52" t="str">
        <x:v>collect_address=false のAPKを用意</x:v>
      </x:c>
      <x:c r="H22" s="52" t="str">
        <x:v>カードを読み取る</x:v>
      </x:c>
      <x:c r="I22" s="52" t="str">
        <x:v>住所が確認画面に表示されず、送信データにも含まれない</x:v>
      </x:c>
      <x:c r="J22" s="54" t="str">
        <x:v>未実施</x:v>
      </x:c>
      <x:c r="K22" s="56" t="str"/>
      <x:c r="L22" s="54" t="str"/>
      <x:c r="M22" s="54" t="str"/>
      <x:c r="N22" s="54" t="str"/>
      <x:c r="O22" s="54" t="str">
        <x:v>高</x:v>
      </x:c>
      <x:c r="P22" s="52" t="str"/>
    </x:row>
    <x:row r="23" ht="54" customHeight="1">
      <x:c r="A23" s="54" t="n">
        <x:v>22</x:v>
      </x:c>
      <x:c r="B23" s="54" t="str">
        <x:v>UT-022</x:v>
      </x:c>
      <x:c r="C23" s="54" t="str">
        <x:v>単体テスト</x:v>
      </x:c>
      <x:c r="D23" s="52" t="str">
        <x:v>Android NFC</x:v>
      </x:c>
      <x:c r="E23" s="52" t="str">
        <x:v>MyNumberCardReader</x:v>
      </x:c>
      <x:c r="F23" s="52" t="str">
        <x:v>有効期限収集OFF時に有効期限を読まない/返さないこと</x:v>
      </x:c>
      <x:c r="G23" s="52" t="str">
        <x:v>collect_expiry_date=false のAPKを用意</x:v>
      </x:c>
      <x:c r="H23" s="52" t="str">
        <x:v>カードを読み取る</x:v>
      </x:c>
      <x:c r="I23" s="52" t="str">
        <x:v>有効期限が確認画面に表示されず、送信データにも含まれない</x:v>
      </x:c>
      <x:c r="J23" s="54" t="str">
        <x:v>未実施</x:v>
      </x:c>
      <x:c r="K23" s="56" t="str"/>
      <x:c r="L23" s="54" t="str"/>
      <x:c r="M23" s="54" t="str"/>
      <x:c r="N23" s="54" t="str"/>
      <x:c r="O23" s="54" t="str">
        <x:v>中</x:v>
      </x:c>
      <x:c r="P23" s="52" t="str"/>
    </x:row>
    <x:row r="24" ht="54" customHeight="1">
      <x:c r="A24" s="54" t="n">
        <x:v>23</x:v>
      </x:c>
      <x:c r="B24" s="54" t="str">
        <x:v>UT-023</x:v>
      </x:c>
      <x:c r="C24" s="54" t="str">
        <x:v>単体テスト</x:v>
      </x:c>
      <x:c r="D24" s="52" t="str">
        <x:v>Android NFC</x:v>
      </x:c>
      <x:c r="E24" s="52" t="str">
        <x:v>MyNumberCardReader</x:v>
      </x:c>
      <x:c r="F24" s="52" t="str">
        <x:v>EF選択失敗時に空値扱いまたはエラー扱いが妥当であること</x:v>
      </x:c>
      <x:c r="G24" s="52" t="str">
        <x:v>EF読取失敗を起こす検証条件を用意</x:v>
      </x:c>
      <x:c r="H24" s="52" t="str">
        <x:v>カードを読み取る</x:v>
      </x:c>
      <x:c r="I24" s="52" t="str">
        <x:v>アプリが落ちず、仕様通りに空値または読取失敗として扱う</x:v>
      </x:c>
      <x:c r="J24" s="54" t="str">
        <x:v>未実施</x:v>
      </x:c>
      <x:c r="K24" s="56" t="str"/>
      <x:c r="L24" s="54" t="str"/>
      <x:c r="M24" s="54" t="str"/>
      <x:c r="N24" s="54" t="str"/>
      <x:c r="O24" s="54" t="str">
        <x:v>中</x:v>
      </x:c>
      <x:c r="P24" s="52" t="str"/>
    </x:row>
    <x:row r="25" ht="54" customHeight="1">
      <x:c r="A25" s="54" t="n">
        <x:v>24</x:v>
      </x:c>
      <x:c r="B25" s="54" t="str">
        <x:v>UT-024</x:v>
      </x:c>
      <x:c r="C25" s="54" t="str">
        <x:v>単体テスト</x:v>
      </x:c>
      <x:c r="D25" s="52" t="str">
        <x:v>Android NFC</x:v>
      </x:c>
      <x:c r="E25" s="52" t="str">
        <x:v>DriverLicenseReader</x:v>
      </x:c>
      <x:c r="F25" s="52" t="str">
        <x:v>PIN未入力時の扱いを確認すること</x:v>
      </x:c>
      <x:c r="G25" s="52" t="str">
        <x:v>運転免許証検出済み</x:v>
      </x:c>
      <x:c r="H25" s="52" t="str">
        <x:v>PIN空欄で読取操作する</x:v>
      </x:c>
      <x:c r="I25" s="52" t="str">
        <x:v>仕様通りに読取可否が制御され、意図しない情報取得がない</x:v>
      </x:c>
      <x:c r="J25" s="54" t="str">
        <x:v>未実施</x:v>
      </x:c>
      <x:c r="K25" s="56" t="str"/>
      <x:c r="L25" s="54" t="str"/>
      <x:c r="M25" s="54" t="str"/>
      <x:c r="N25" s="54" t="str"/>
      <x:c r="O25" s="54" t="str">
        <x:v>高</x:v>
      </x:c>
      <x:c r="P25" s="52" t="str"/>
    </x:row>
    <x:row r="26" ht="54" customHeight="1">
      <x:c r="A26" s="54" t="n">
        <x:v>25</x:v>
      </x:c>
      <x:c r="B26" s="54" t="str">
        <x:v>UT-025</x:v>
      </x:c>
      <x:c r="C26" s="54" t="str">
        <x:v>単体テスト</x:v>
      </x:c>
      <x:c r="D26" s="52" t="str">
        <x:v>Android NFC</x:v>
      </x:c>
      <x:c r="E26" s="52" t="str">
        <x:v>DriverLicenseReader</x:v>
      </x:c>
      <x:c r="F26" s="52" t="str">
        <x:v>PIN誤り時に残回数を表示できること</x:v>
      </x:c>
      <x:c r="G26" s="52" t="str">
        <x:v>運転免許証検出済み</x:v>
      </x:c>
      <x:c r="H26" s="52" t="str">
        <x:v>誤った暗証番号1を入力する</x:v>
      </x:c>
      <x:c r="I26" s="52" t="str">
        <x:v>残試行回数を含むエラーが表示され、取得データは返らない</x:v>
      </x:c>
      <x:c r="J26" s="54" t="str">
        <x:v>未実施</x:v>
      </x:c>
      <x:c r="K26" s="56" t="str"/>
      <x:c r="L26" s="54" t="str"/>
      <x:c r="M26" s="54" t="str"/>
      <x:c r="N26" s="54" t="str"/>
      <x:c r="O26" s="54" t="str">
        <x:v>高</x:v>
      </x:c>
      <x:c r="P26" s="52" t="str">
        <x:v>実カードのロックに注意して実施</x:v>
      </x:c>
    </x:row>
    <x:row r="27" ht="54" customHeight="1">
      <x:c r="A27" s="54" t="n">
        <x:v>26</x:v>
      </x:c>
      <x:c r="B27" s="54" t="str">
        <x:v>UT-026</x:v>
      </x:c>
      <x:c r="C27" s="54" t="str">
        <x:v>単体テスト</x:v>
      </x:c>
      <x:c r="D27" s="52" t="str">
        <x:v>Android NFC</x:v>
      </x:c>
      <x:c r="E27" s="52" t="str">
        <x:v>DriverLicenseReader</x:v>
      </x:c>
      <x:c r="F27" s="52" t="str">
        <x:v>氏名・生年月日・住所を正常取得できること</x:v>
      </x:c>
      <x:c r="G27" s="52" t="str">
        <x:v>正しい暗証番号1を用意</x:v>
      </x:c>
      <x:c r="H27" s="52" t="str">
        <x:v>運転免許証を読み取る</x:v>
      </x:c>
      <x:c r="I27" s="52" t="str">
        <x:v>対象項目が確認画面へ表示される</x:v>
      </x:c>
      <x:c r="J27" s="54" t="str">
        <x:v>未実施</x:v>
      </x:c>
      <x:c r="K27" s="56" t="str"/>
      <x:c r="L27" s="54" t="str"/>
      <x:c r="M27" s="54" t="str"/>
      <x:c r="N27" s="54" t="str"/>
      <x:c r="O27" s="54" t="str">
        <x:v>高</x:v>
      </x:c>
      <x:c r="P27" s="52" t="str"/>
    </x:row>
    <x:row r="28" ht="54" customHeight="1">
      <x:c r="A28" s="54" t="n">
        <x:v>27</x:v>
      </x:c>
      <x:c r="B28" s="54" t="str">
        <x:v>UT-027</x:v>
      </x:c>
      <x:c r="C28" s="54" t="str">
        <x:v>単体テスト</x:v>
      </x:c>
      <x:c r="D28" s="52" t="str">
        <x:v>Android NFC</x:v>
      </x:c>
      <x:c r="E28" s="52" t="str">
        <x:v>DriverLicenseReader</x:v>
      </x:c>
      <x:c r="F28" s="52" t="str">
        <x:v>免許証番号収集OFF時に番号を読まない/返さないこと</x:v>
      </x:c>
      <x:c r="G28" s="52" t="str">
        <x:v>collect_license_number=false</x:v>
      </x:c>
      <x:c r="H28" s="52" t="str">
        <x:v>運転免許証を読み取る</x:v>
      </x:c>
      <x:c r="I28" s="52" t="str">
        <x:v>免許証番号が確認画面に表示されず、送信データにも含まれない</x:v>
      </x:c>
      <x:c r="J28" s="54" t="str">
        <x:v>未実施</x:v>
      </x:c>
      <x:c r="K28" s="56" t="str"/>
      <x:c r="L28" s="54" t="str"/>
      <x:c r="M28" s="54" t="str"/>
      <x:c r="N28" s="54" t="str"/>
      <x:c r="O28" s="54" t="str">
        <x:v>高</x:v>
      </x:c>
      <x:c r="P28" s="52" t="str"/>
    </x:row>
    <x:row r="29" ht="54" customHeight="1">
      <x:c r="A29" s="54" t="n">
        <x:v>28</x:v>
      </x:c>
      <x:c r="B29" s="54" t="str">
        <x:v>UT-028</x:v>
      </x:c>
      <x:c r="C29" s="54" t="str">
        <x:v>単体テスト</x:v>
      </x:c>
      <x:c r="D29" s="52" t="str">
        <x:v>Android NFC</x:v>
      </x:c>
      <x:c r="E29" s="52" t="str">
        <x:v>DriverLicenseReader</x:v>
      </x:c>
      <x:c r="F29" s="52" t="str">
        <x:v>免許の種類を正常変換できること</x:v>
      </x:c>
      <x:c r="G29" s="52" t="str">
        <x:v>免許種別を持つカードを用意</x:v>
      </x:c>
      <x:c r="H29" s="52" t="str">
        <x:v>運転免許証を読み取る</x:v>
      </x:c>
      <x:c r="I29" s="52" t="str">
        <x:v>普通・準中型などの表示が仕様通りになる</x:v>
      </x:c>
      <x:c r="J29" s="54" t="str">
        <x:v>未実施</x:v>
      </x:c>
      <x:c r="K29" s="56" t="str"/>
      <x:c r="L29" s="54" t="str"/>
      <x:c r="M29" s="54" t="str"/>
      <x:c r="N29" s="54" t="str"/>
      <x:c r="O29" s="54" t="str">
        <x:v>中</x:v>
      </x:c>
      <x:c r="P29" s="52" t="str"/>
    </x:row>
    <x:row r="30" ht="54" customHeight="1">
      <x:c r="A30" s="54" t="n">
        <x:v>29</x:v>
      </x:c>
      <x:c r="B30" s="54" t="str">
        <x:v>UT-029</x:v>
      </x:c>
      <x:c r="C30" s="54" t="str">
        <x:v>単体テスト</x:v>
      </x:c>
      <x:c r="D30" s="52" t="str">
        <x:v>Android NFC</x:v>
      </x:c>
      <x:c r="E30" s="52" t="str">
        <x:v>DriverLicenseReader</x:v>
      </x:c>
      <x:c r="F30" s="52" t="str">
        <x:v>読取失敗時にアプリが復帰できること</x:v>
      </x:c>
      <x:c r="G30" s="52" t="str">
        <x:v>カードを途中で離す</x:v>
      </x:c>
      <x:c r="H30" s="52" t="str">
        <x:v>読取中にカードを離す</x:v>
      </x:c>
      <x:c r="I30" s="52" t="str">
        <x:v>エラー表示後、再度カード待機画面へ戻る</x:v>
      </x:c>
      <x:c r="J30" s="54" t="str">
        <x:v>未実施</x:v>
      </x:c>
      <x:c r="K30" s="56" t="str"/>
      <x:c r="L30" s="54" t="str"/>
      <x:c r="M30" s="54" t="str"/>
      <x:c r="N30" s="54" t="str"/>
      <x:c r="O30" s="54" t="str">
        <x:v>高</x:v>
      </x:c>
      <x:c r="P30" s="52" t="str"/>
    </x:row>
    <x:row r="31" ht="54" customHeight="1">
      <x:c r="A31" s="54" t="n">
        <x:v>30</x:v>
      </x:c>
      <x:c r="B31" s="54" t="str">
        <x:v>UT-030</x:v>
      </x:c>
      <x:c r="C31" s="54" t="str">
        <x:v>単体テスト</x:v>
      </x:c>
      <x:c r="D31" s="52" t="str">
        <x:v>Laravel 認証</x:v>
      </x:c>
      <x:c r="E31" s="52" t="str">
        <x:v>LoginController</x:v>
      </x:c>
      <x:c r="F31" s="52" t="str">
        <x:v>社員番号・パスワード必須チェックが動作すること</x:v>
      </x:c>
      <x:c r="G31" s="52" t="str">
        <x:v>ログイン画面を表示</x:v>
      </x:c>
      <x:c r="H31" s="52" t="str">
        <x:v>空欄でログインボタンを押す</x:v>
      </x:c>
      <x:c r="I31" s="52" t="str">
        <x:v>バリデーションエラーとなりログインしない</x:v>
      </x:c>
      <x:c r="J31" s="54" t="str">
        <x:v>未実施</x:v>
      </x:c>
      <x:c r="K31" s="56" t="str"/>
      <x:c r="L31" s="54" t="str"/>
      <x:c r="M31" s="54" t="str"/>
      <x:c r="N31" s="54" t="str"/>
      <x:c r="O31" s="54" t="str">
        <x:v>高</x:v>
      </x:c>
      <x:c r="P31" s="52" t="str"/>
    </x:row>
    <x:row r="32" ht="54" customHeight="1">
      <x:c r="A32" s="54" t="n">
        <x:v>31</x:v>
      </x:c>
      <x:c r="B32" s="54" t="str">
        <x:v>UT-031</x:v>
      </x:c>
      <x:c r="C32" s="54" t="str">
        <x:v>単体テスト</x:v>
      </x:c>
      <x:c r="D32" s="52" t="str">
        <x:v>Laravel 認証</x:v>
      </x:c>
      <x:c r="E32" s="52" t="str">
        <x:v>LoginController</x:v>
      </x:c>
      <x:c r="F32" s="52" t="str">
        <x:v>正しい認証情報でログインできること</x:v>
      </x:c>
      <x:c r="G32" s="52" t="str">
        <x:v>有効ユーザーをDBに登録</x:v>
      </x:c>
      <x:c r="H32" s="52" t="str">
        <x:v>社員番号・パスワードを入力してログイン</x:v>
      </x:c>
      <x:c r="I32" s="52" t="str">
        <x:v>セッションが生成され、スキャン画面へ遷移する</x:v>
      </x:c>
      <x:c r="J32" s="54" t="str">
        <x:v>未実施</x:v>
      </x:c>
      <x:c r="K32" s="56" t="str"/>
      <x:c r="L32" s="54" t="str"/>
      <x:c r="M32" s="54" t="str"/>
      <x:c r="N32" s="54" t="str"/>
      <x:c r="O32" s="54" t="str">
        <x:v>高</x:v>
      </x:c>
      <x:c r="P32" s="52" t="str"/>
    </x:row>
    <x:row r="33" ht="54" customHeight="1">
      <x:c r="A33" s="54" t="n">
        <x:v>32</x:v>
      </x:c>
      <x:c r="B33" s="54" t="str">
        <x:v>UT-032</x:v>
      </x:c>
      <x:c r="C33" s="54" t="str">
        <x:v>単体テスト</x:v>
      </x:c>
      <x:c r="D33" s="52" t="str">
        <x:v>Laravel 認証</x:v>
      </x:c>
      <x:c r="E33" s="52" t="str">
        <x:v>LoginController</x:v>
      </x:c>
      <x:c r="F33" s="52" t="str">
        <x:v>誤った認証情報でログイン拒否されること</x:v>
      </x:c>
      <x:c r="G33" s="52" t="str">
        <x:v>ログイン画面を表示</x:v>
      </x:c>
      <x:c r="H33" s="52" t="str">
        <x:v>誤パスワードでログイン</x:v>
      </x:c>
      <x:c r="I33" s="52" t="str">
        <x:v>エラーメッセージが表示され、認証状態にならない</x:v>
      </x:c>
      <x:c r="J33" s="54" t="str">
        <x:v>未実施</x:v>
      </x:c>
      <x:c r="K33" s="56" t="str"/>
      <x:c r="L33" s="54" t="str"/>
      <x:c r="M33" s="54" t="str"/>
      <x:c r="N33" s="54" t="str"/>
      <x:c r="O33" s="54" t="str">
        <x:v>高</x:v>
      </x:c>
      <x:c r="P33" s="52" t="str"/>
    </x:row>
    <x:row r="34" ht="54" customHeight="1">
      <x:c r="A34" s="54" t="n">
        <x:v>33</x:v>
      </x:c>
      <x:c r="B34" s="54" t="str">
        <x:v>UT-033</x:v>
      </x:c>
      <x:c r="C34" s="54" t="str">
        <x:v>単体テスト</x:v>
      </x:c>
      <x:c r="D34" s="52" t="str">
        <x:v>Laravel 認証</x:v>
      </x:c>
      <x:c r="E34" s="52" t="str">
        <x:v>LoginController</x:v>
      </x:c>
      <x:c r="F34" s="52" t="str">
        <x:v>無効ユーザーはログインできないこと</x:v>
      </x:c>
      <x:c r="G34" s="52" t="str">
        <x:v>is_active=false のユーザーを用意</x:v>
      </x:c>
      <x:c r="H34" s="52" t="str">
        <x:v>正しいパスワードでログイン</x:v>
      </x:c>
      <x:c r="I34" s="52" t="str">
        <x:v>無効アカウントとして拒否される</x:v>
      </x:c>
      <x:c r="J34" s="54" t="str">
        <x:v>未実施</x:v>
      </x:c>
      <x:c r="K34" s="56" t="str"/>
      <x:c r="L34" s="54" t="str"/>
      <x:c r="M34" s="54" t="str"/>
      <x:c r="N34" s="54" t="str"/>
      <x:c r="O34" s="54" t="str">
        <x:v>高</x:v>
      </x:c>
      <x:c r="P34" s="52" t="str"/>
    </x:row>
    <x:row r="35" ht="54" customHeight="1">
      <x:c r="A35" s="54" t="n">
        <x:v>34</x:v>
      </x:c>
      <x:c r="B35" s="54" t="str">
        <x:v>UT-034</x:v>
      </x:c>
      <x:c r="C35" s="54" t="str">
        <x:v>単体テスト</x:v>
      </x:c>
      <x:c r="D35" s="52" t="str">
        <x:v>Laravel 認証</x:v>
      </x:c>
      <x:c r="E35" s="52" t="str">
        <x:v>LoginController</x:v>
      </x:c>
      <x:c r="F35" s="52" t="str">
        <x:v>ログイン成功時にセッションIDが再生成されること</x:v>
      </x:c>
      <x:c r="G35" s="52" t="str">
        <x:v>ログイン前のセッションIDを確認可能にする</x:v>
      </x:c>
      <x:c r="H35" s="52" t="str">
        <x:v>ログイン処理を行う</x:v>
      </x:c>
      <x:c r="I35" s="52" t="str">
        <x:v>ログイン前後でセッションIDが変わる</x:v>
      </x:c>
      <x:c r="J35" s="54" t="str">
        <x:v>未実施</x:v>
      </x:c>
      <x:c r="K35" s="56" t="str"/>
      <x:c r="L35" s="54" t="str"/>
      <x:c r="M35" s="54" t="str"/>
      <x:c r="N35" s="54" t="str"/>
      <x:c r="O35" s="54" t="str">
        <x:v>高</x:v>
      </x:c>
      <x:c r="P35" s="52" t="str"/>
    </x:row>
    <x:row r="36" ht="54" customHeight="1">
      <x:c r="A36" s="54" t="n">
        <x:v>35</x:v>
      </x:c>
      <x:c r="B36" s="54" t="str">
        <x:v>UT-035</x:v>
      </x:c>
      <x:c r="C36" s="54" t="str">
        <x:v>単体テスト</x:v>
      </x:c>
      <x:c r="D36" s="52" t="str">
        <x:v>Laravel 認証</x:v>
      </x:c>
      <x:c r="E36" s="52" t="str">
        <x:v>LoginController</x:v>
      </x:c>
      <x:c r="F36" s="52" t="str">
        <x:v>ログアウト時にセッションが無効化されること</x:v>
      </x:c>
      <x:c r="G36" s="52" t="str">
        <x:v>ログイン済み</x:v>
      </x:c>
      <x:c r="H36" s="52" t="str">
        <x:v>ログアウトボタンを押し、保護ページへアクセス</x:v>
      </x:c>
      <x:c r="I36" s="52" t="str">
        <x:v>ログイン画面へ戻され、旧セッションでAPI利用できない</x:v>
      </x:c>
      <x:c r="J36" s="54" t="str">
        <x:v>未実施</x:v>
      </x:c>
      <x:c r="K36" s="56" t="str"/>
      <x:c r="L36" s="54" t="str"/>
      <x:c r="M36" s="54" t="str"/>
      <x:c r="N36" s="54" t="str"/>
      <x:c r="O36" s="54" t="str">
        <x:v>高</x:v>
      </x:c>
      <x:c r="P36" s="52" t="str"/>
    </x:row>
    <x:row r="37" ht="54" customHeight="1">
      <x:c r="A37" s="54" t="n">
        <x:v>36</x:v>
      </x:c>
      <x:c r="B37" s="54" t="str">
        <x:v>UT-036</x:v>
      </x:c>
      <x:c r="C37" s="54" t="str">
        <x:v>単体テスト</x:v>
      </x:c>
      <x:c r="D37" s="52" t="str">
        <x:v>Laravel API</x:v>
      </x:c>
      <x:c r="E37" s="52" t="str">
        <x:v>CardController.submit</x:v>
      </x:c>
      <x:c r="F37" s="52" t="str">
        <x:v>必須項目不足時に登録拒否されること</x:v>
      </x:c>
      <x:c r="G37" s="52" t="str">
        <x:v>ログイン済み</x:v>
      </x:c>
      <x:c r="H37" s="52" t="str">
        <x:v>name または date_of_birth を欠落させてPOSTする</x:v>
      </x:c>
      <x:c r="I37" s="52" t="str">
        <x:v>422エラーとなり、DBに登録されない</x:v>
      </x:c>
      <x:c r="J37" s="54" t="str">
        <x:v>未実施</x:v>
      </x:c>
      <x:c r="K37" s="56" t="str"/>
      <x:c r="L37" s="54" t="str"/>
      <x:c r="M37" s="54" t="str"/>
      <x:c r="N37" s="54" t="str"/>
      <x:c r="O37" s="54" t="str">
        <x:v>高</x:v>
      </x:c>
      <x:c r="P37" s="52" t="str"/>
    </x:row>
    <x:row r="38" ht="54" customHeight="1">
      <x:c r="A38" s="54" t="n">
        <x:v>37</x:v>
      </x:c>
      <x:c r="B38" s="54" t="str">
        <x:v>UT-037</x:v>
      </x:c>
      <x:c r="C38" s="54" t="str">
        <x:v>単体テスト</x:v>
      </x:c>
      <x:c r="D38" s="52" t="str">
        <x:v>Laravel API</x:v>
      </x:c>
      <x:c r="E38" s="52" t="str">
        <x:v>CardController.submit</x:v>
      </x:c>
      <x:c r="F38" s="52" t="str">
        <x:v>カード種別不正時に登録拒否されること</x:v>
      </x:c>
      <x:c r="G38" s="52" t="str">
        <x:v>ログイン済み</x:v>
      </x:c>
      <x:c r="H38" s="52" t="str">
        <x:v>card_type に不正値を指定してPOSTする</x:v>
      </x:c>
      <x:c r="I38" s="52" t="str">
        <x:v>422エラーとなり、DBに登録されない</x:v>
      </x:c>
      <x:c r="J38" s="54" t="str">
        <x:v>未実施</x:v>
      </x:c>
      <x:c r="K38" s="56" t="str"/>
      <x:c r="L38" s="54" t="str"/>
      <x:c r="M38" s="54" t="str"/>
      <x:c r="N38" s="54" t="str"/>
      <x:c r="O38" s="54" t="str">
        <x:v>高</x:v>
      </x:c>
      <x:c r="P38" s="52" t="str"/>
    </x:row>
    <x:row r="39" ht="54" customHeight="1">
      <x:c r="A39" s="54" t="n">
        <x:v>38</x:v>
      </x:c>
      <x:c r="B39" s="54" t="str">
        <x:v>UT-038</x:v>
      </x:c>
      <x:c r="C39" s="54" t="str">
        <x:v>単体テスト</x:v>
      </x:c>
      <x:c r="D39" s="52" t="str">
        <x:v>Laravel API</x:v>
      </x:c>
      <x:c r="E39" s="52" t="str">
        <x:v>CardController.submit</x:v>
      </x:c>
      <x:c r="F39" s="52" t="str">
        <x:v>ログインユーザーIDが自動付与されること</x:v>
      </x:c>
      <x:c r="G39" s="52" t="str">
        <x:v>ユーザーAでログイン済み</x:v>
      </x:c>
      <x:c r="H39" s="52" t="str">
        <x:v>正常なカードデータをPOSTする</x:v>
      </x:c>
      <x:c r="I39" s="52" t="str">
        <x:v>DBのuser_idがユーザーAのIDになり、クライアント指定値に依存しない</x:v>
      </x:c>
      <x:c r="J39" s="54" t="str">
        <x:v>未実施</x:v>
      </x:c>
      <x:c r="K39" s="56" t="str"/>
      <x:c r="L39" s="54" t="str"/>
      <x:c r="M39" s="54" t="str"/>
      <x:c r="N39" s="54" t="str"/>
      <x:c r="O39" s="54" t="str">
        <x:v>高</x:v>
      </x:c>
      <x:c r="P39" s="52" t="str"/>
    </x:row>
    <x:row r="40" ht="54" customHeight="1">
      <x:c r="A40" s="54" t="n">
        <x:v>39</x:v>
      </x:c>
      <x:c r="B40" s="54" t="str">
        <x:v>UT-039</x:v>
      </x:c>
      <x:c r="C40" s="54" t="str">
        <x:v>単体テスト</x:v>
      </x:c>
      <x:c r="D40" s="52" t="str">
        <x:v>Laravel API</x:v>
      </x:c>
      <x:c r="E40" s="52" t="str">
        <x:v>CardController.submit</x:v>
      </x:c>
      <x:c r="F40" s="52" t="str">
        <x:v>最大文字数超過を拒否すること</x:v>
      </x:c>
      <x:c r="G40" s="52" t="str">
        <x:v>ログイン済み</x:v>
      </x:c>
      <x:c r="H40" s="52" t="str">
        <x:v>氏名/住所などに上限超過文字列を指定する</x:v>
      </x:c>
      <x:c r="I40" s="52" t="str">
        <x:v>422エラーとなり、DBに登録されない</x:v>
      </x:c>
      <x:c r="J40" s="54" t="str">
        <x:v>未実施</x:v>
      </x:c>
      <x:c r="K40" s="56" t="str"/>
      <x:c r="L40" s="54" t="str"/>
      <x:c r="M40" s="54" t="str"/>
      <x:c r="N40" s="54" t="str"/>
      <x:c r="O40" s="54" t="str">
        <x:v>中</x:v>
      </x:c>
      <x:c r="P40" s="52" t="str"/>
    </x:row>
    <x:row r="41" ht="54" customHeight="1">
      <x:c r="A41" s="54" t="n">
        <x:v>40</x:v>
      </x:c>
      <x:c r="B41" s="54" t="str">
        <x:v>UT-040</x:v>
      </x:c>
      <x:c r="C41" s="54" t="str">
        <x:v>単体テスト</x:v>
      </x:c>
      <x:c r="D41" s="52" t="str">
        <x:v>Laravel API</x:v>
      </x:c>
      <x:c r="E41" s="52" t="str">
        <x:v>CardController.records</x:v>
      </x:c>
      <x:c r="F41" s="52" t="str">
        <x:v>自分の登録データのみ取得できること</x:v>
      </x:c>
      <x:c r="G41" s="52" t="str">
        <x:v>ユーザーA/Bのデータを作成</x:v>
      </x:c>
      <x:c r="H41" s="52" t="str">
        <x:v>ユーザーAで /api/records を呼ぶ</x:v>
      </x:c>
      <x:c r="I41" s="52" t="str">
        <x:v>ユーザーAのデータのみ返る</x:v>
      </x:c>
      <x:c r="J41" s="54" t="str">
        <x:v>未実施</x:v>
      </x:c>
      <x:c r="K41" s="56" t="str"/>
      <x:c r="L41" s="54" t="str"/>
      <x:c r="M41" s="54" t="str"/>
      <x:c r="N41" s="54" t="str"/>
      <x:c r="O41" s="54" t="str">
        <x:v>高</x:v>
      </x:c>
      <x:c r="P41" s="52" t="str"/>
    </x:row>
    <x:row r="42" ht="54" customHeight="1">
      <x:c r="A42" s="54" t="n">
        <x:v>41</x:v>
      </x:c>
      <x:c r="B42" s="54" t="str">
        <x:v>UT-041</x:v>
      </x:c>
      <x:c r="C42" s="54" t="str">
        <x:v>単体テスト</x:v>
      </x:c>
      <x:c r="D42" s="52" t="str">
        <x:v>Laravel API</x:v>
      </x:c>
      <x:c r="E42" s="52" t="str">
        <x:v>CardController.records</x:v>
      </x:c>
      <x:c r="F42" s="52" t="str">
        <x:v>検索条件のLIKEエスケープが効くこと</x:v>
      </x:c>
      <x:c r="G42" s="52" t="str">
        <x:v>% や _ を含むデータを登録</x:v>
      </x:c>
      <x:c r="H42" s="52" t="str">
        <x:v>q に %, _, \ を含めて検索する</x:v>
      </x:c>
      <x:c r="I42" s="52" t="str">
        <x:v>意図しない全件一致が起きず、検索結果が妥当である</x:v>
      </x:c>
      <x:c r="J42" s="54" t="str">
        <x:v>未実施</x:v>
      </x:c>
      <x:c r="K42" s="56" t="str"/>
      <x:c r="L42" s="54" t="str"/>
      <x:c r="M42" s="54" t="str"/>
      <x:c r="N42" s="54" t="str"/>
      <x:c r="O42" s="54" t="str">
        <x:v>中</x:v>
      </x:c>
      <x:c r="P42" s="52" t="str"/>
    </x:row>
    <x:row r="43" ht="54" customHeight="1">
      <x:c r="A43" s="54" t="n">
        <x:v>42</x:v>
      </x:c>
      <x:c r="B43" s="54" t="str">
        <x:v>UT-042</x:v>
      </x:c>
      <x:c r="C43" s="54" t="str">
        <x:v>単体テスト</x:v>
      </x:c>
      <x:c r="D43" s="52" t="str">
        <x:v>Laravel API</x:v>
      </x:c>
      <x:c r="E43" s="52" t="str">
        <x:v>CardController.records</x:v>
      </x:c>
      <x:c r="F43" s="52" t="str">
        <x:v>一覧上限200件が適用されること</x:v>
      </x:c>
      <x:c r="G43" s="52" t="str">
        <x:v>同一ユーザーで201件以上登録</x:v>
      </x:c>
      <x:c r="H43" s="52" t="str">
        <x:v>/api/records を呼ぶ</x:v>
      </x:c>
      <x:c r="I43" s="52" t="str">
        <x:v>rows は最大200件、total は総件数を返す</x:v>
      </x:c>
      <x:c r="J43" s="54" t="str">
        <x:v>未実施</x:v>
      </x:c>
      <x:c r="K43" s="56" t="str"/>
      <x:c r="L43" s="54" t="str"/>
      <x:c r="M43" s="54" t="str"/>
      <x:c r="N43" s="54" t="str"/>
      <x:c r="O43" s="54" t="str">
        <x:v>中</x:v>
      </x:c>
      <x:c r="P43" s="52" t="str"/>
    </x:row>
    <x:row r="44" ht="54" customHeight="1">
      <x:c r="A44" s="54" t="n">
        <x:v>43</x:v>
      </x:c>
      <x:c r="B44" s="54" t="str">
        <x:v>UT-043</x:v>
      </x:c>
      <x:c r="C44" s="54" t="str">
        <x:v>単体テスト</x:v>
      </x:c>
      <x:c r="D44" s="52" t="str">
        <x:v>Laravel API</x:v>
      </x:c>
      <x:c r="E44" s="52" t="str">
        <x:v>ConfigController.show</x:v>
      </x:c>
      <x:c r="F44" s="52" t="str">
        <x:v>設定未登録時にデフォルト値を返すこと</x:v>
      </x:c>
      <x:c r="G44" s="52" t="str">
        <x:v>settings テーブルを空にする</x:v>
      </x:c>
      <x:c r="H44" s="52" t="str">
        <x:v>/api/config をGETする</x:v>
      </x:c>
      <x:c r="I44" s="52" t="str">
        <x:v>デフォルト設定が返る。番号収集項目は false である</x:v>
      </x:c>
      <x:c r="J44" s="54" t="str">
        <x:v>未実施</x:v>
      </x:c>
      <x:c r="K44" s="56" t="str"/>
      <x:c r="L44" s="54" t="str"/>
      <x:c r="M44" s="54" t="str"/>
      <x:c r="N44" s="54" t="str"/>
      <x:c r="O44" s="54" t="str">
        <x:v>高</x:v>
      </x:c>
      <x:c r="P44" s="52" t="str"/>
    </x:row>
    <x:row r="45" ht="54" customHeight="1">
      <x:c r="A45" s="54" t="n">
        <x:v>44</x:v>
      </x:c>
      <x:c r="B45" s="54" t="str">
        <x:v>UT-044</x:v>
      </x:c>
      <x:c r="C45" s="54" t="str">
        <x:v>単体テスト</x:v>
      </x:c>
      <x:c r="D45" s="52" t="str">
        <x:v>Laravel API</x:v>
      </x:c>
      <x:c r="E45" s="52" t="str">
        <x:v>ConfigController.update</x:v>
      </x:c>
      <x:c r="F45" s="52" t="str">
        <x:v>許可された項目だけ更新できること</x:v>
      </x:c>
      <x:c r="G45" s="52" t="str">
        <x:v>ログイン済み</x:v>
      </x:c>
      <x:c r="H45" s="52" t="str">
        <x:v>fields に定義済みキーと未定義キーを混在させPUTする</x:v>
      </x:c>
      <x:c r="I45" s="52" t="str">
        <x:v>定義済みキーのみ保存され、未定義キーは無視される</x:v>
      </x:c>
      <x:c r="J45" s="54" t="str">
        <x:v>未実施</x:v>
      </x:c>
      <x:c r="K45" s="56" t="str"/>
      <x:c r="L45" s="54" t="str"/>
      <x:c r="M45" s="54" t="str"/>
      <x:c r="N45" s="54" t="str"/>
      <x:c r="O45" s="54" t="str">
        <x:v>中</x:v>
      </x:c>
      <x:c r="P45" s="52" t="str"/>
    </x:row>
    <x:row r="46" ht="54" customHeight="1">
      <x:c r="A46" s="54" t="n">
        <x:v>45</x:v>
      </x:c>
      <x:c r="B46" s="54" t="str">
        <x:v>UT-045</x:v>
      </x:c>
      <x:c r="C46" s="54" t="str">
        <x:v>単体テスト</x:v>
      </x:c>
      <x:c r="D46" s="52" t="str">
        <x:v>Laravel API</x:v>
      </x:c>
      <x:c r="E46" s="52" t="str">
        <x:v>ConfigController.update</x:v>
      </x:c>
      <x:c r="F46" s="52" t="str">
        <x:v>boolean以外の設定値を拒否すること</x:v>
      </x:c>
      <x:c r="G46" s="52" t="str">
        <x:v>ログイン済み</x:v>
      </x:c>
      <x:c r="H46" s="52" t="str">
        <x:v>fields.collect_address に文字列等を指定してPUTする</x:v>
      </x:c>
      <x:c r="I46" s="52" t="str">
        <x:v>422エラーまたは仕様通りの拒否となる</x:v>
      </x:c>
      <x:c r="J46" s="54" t="str">
        <x:v>未実施</x:v>
      </x:c>
      <x:c r="K46" s="56" t="str"/>
      <x:c r="L46" s="54" t="str"/>
      <x:c r="M46" s="54" t="str"/>
      <x:c r="N46" s="54" t="str"/>
      <x:c r="O46" s="54" t="str">
        <x:v>中</x:v>
      </x:c>
      <x:c r="P46" s="52" t="str"/>
    </x:row>
    <x:row r="47" ht="54" customHeight="1">
      <x:c r="A47" s="54" t="n">
        <x:v>46</x:v>
      </x:c>
      <x:c r="B47" s="54" t="str">
        <x:v>UT-046</x:v>
      </x:c>
      <x:c r="C47" s="54" t="str">
        <x:v>単体テスト</x:v>
      </x:c>
      <x:c r="D47" s="52" t="str">
        <x:v>Laravel Model</x:v>
      </x:c>
      <x:c r="E47" s="52" t="str">
        <x:v>User</x:v>
      </x:c>
      <x:c r="F47" s="52" t="str">
        <x:v>password が隠蔽されること</x:v>
      </x:c>
      <x:c r="G47" s="52" t="str">
        <x:v>ユーザー情報をJSON化可能な状態</x:v>
      </x:c>
      <x:c r="H47" s="52" t="str">
        <x:v>/api/me またはモデルJSONを確認する</x:v>
      </x:c>
      <x:c r="I47" s="52" t="str">
        <x:v>password、remember_token がレスポンスに含まれない</x:v>
      </x:c>
      <x:c r="J47" s="54" t="str">
        <x:v>未実施</x:v>
      </x:c>
      <x:c r="K47" s="56" t="str"/>
      <x:c r="L47" s="54" t="str"/>
      <x:c r="M47" s="54" t="str"/>
      <x:c r="N47" s="54" t="str"/>
      <x:c r="O47" s="54" t="str">
        <x:v>高</x:v>
      </x:c>
      <x:c r="P47" s="52" t="str"/>
    </x:row>
    <x:row r="48" ht="54" customHeight="1">
      <x:c r="A48" s="54" t="n">
        <x:v>47</x:v>
      </x:c>
      <x:c r="B48" s="54" t="str">
        <x:v>UT-047</x:v>
      </x:c>
      <x:c r="C48" s="54" t="str">
        <x:v>単体テスト</x:v>
      </x:c>
      <x:c r="D48" s="52" t="str">
        <x:v>Laravel Model</x:v>
      </x:c>
      <x:c r="E48" s="52" t="str">
        <x:v>CardRecord</x:v>
      </x:c>
      <x:c r="F48" s="52" t="str">
        <x:v>保存対象列が仕様通りであること</x:v>
      </x:c>
      <x:c r="G48" s="52" t="str">
        <x:v>カード登録処理を実行</x:v>
      </x:c>
      <x:c r="H48" s="52" t="str">
        <x:v>card_records の列/保存値を確認する</x:v>
      </x:c>
      <x:c r="I48" s="52" t="str">
        <x:v>マイナンバー/免許証番号の列が存在せず、保存されない</x:v>
      </x:c>
      <x:c r="J48" s="54" t="str">
        <x:v>未実施</x:v>
      </x:c>
      <x:c r="K48" s="56" t="str"/>
      <x:c r="L48" s="54" t="str"/>
      <x:c r="M48" s="54" t="str"/>
      <x:c r="N48" s="54" t="str"/>
      <x:c r="O48" s="54" t="str">
        <x:v>高</x:v>
      </x:c>
      <x:c r="P48" s="52" t="str"/>
    </x:row>
    <x:row r="49" ht="54" customHeight="1">
      <x:c r="A49" s="54" t="n">
        <x:v>48</x:v>
      </x:c>
      <x:c r="B49" s="54" t="str">
        <x:v>UT-048</x:v>
      </x:c>
      <x:c r="C49" s="54" t="str">
        <x:v>単体テスト</x:v>
      </x:c>
      <x:c r="D49" s="52" t="str">
        <x:v>Web UI</x:v>
      </x:c>
      <x:c r="E49" s="52" t="str">
        <x:v>scan.blade.php</x:v>
      </x:c>
      <x:c r="F49" s="52" t="str">
        <x:v>確認画面でHTMLエスケープされること</x:v>
      </x:c>
      <x:c r="G49" s="52" t="str">
        <x:v>氏名/住所にHTMLタグ相当の文字列を含むモックを用意</x:v>
      </x:c>
      <x:c r="H49" s="52" t="str">
        <x:v>確認画面を表示する</x:v>
      </x:c>
      <x:c r="I49" s="52" t="str">
        <x:v>タグが実行されず、文字列として表示される</x:v>
      </x:c>
      <x:c r="J49" s="54" t="str">
        <x:v>未実施</x:v>
      </x:c>
      <x:c r="K49" s="56" t="str"/>
      <x:c r="L49" s="54" t="str"/>
      <x:c r="M49" s="54" t="str"/>
      <x:c r="N49" s="54" t="str"/>
      <x:c r="O49" s="54" t="str">
        <x:v>高</x:v>
      </x:c>
      <x:c r="P49" s="52" t="str"/>
    </x:row>
    <x:row r="50" ht="54" customHeight="1">
      <x:c r="A50" s="54" t="n">
        <x:v>49</x:v>
      </x:c>
      <x:c r="B50" s="54" t="str">
        <x:v>UT-049</x:v>
      </x:c>
      <x:c r="C50" s="54" t="str">
        <x:v>単体テスト</x:v>
      </x:c>
      <x:c r="D50" s="52" t="str">
        <x:v>Web UI</x:v>
      </x:c>
      <x:c r="E50" s="52" t="str">
        <x:v>records.blade.php</x:v>
      </x:c>
      <x:c r="F50" s="52" t="str">
        <x:v>一覧・詳細でHTMLエスケープされること</x:v>
      </x:c>
      <x:c r="G50" s="52" t="str">
        <x:v>DBにHTMLタグ相当の文字列を含むデータを用意</x:v>
      </x:c>
      <x:c r="H50" s="52" t="str">
        <x:v>一覧/詳細モーダルを表示する</x:v>
      </x:c>
      <x:c r="I50" s="52" t="str">
        <x:v>タグが実行されず、文字列として表示される</x:v>
      </x:c>
      <x:c r="J50" s="54" t="str">
        <x:v>未実施</x:v>
      </x:c>
      <x:c r="K50" s="56" t="str"/>
      <x:c r="L50" s="54" t="str"/>
      <x:c r="M50" s="54" t="str"/>
      <x:c r="N50" s="54" t="str"/>
      <x:c r="O50" s="54" t="str">
        <x:v>高</x:v>
      </x:c>
      <x:c r="P50" s="52" t="str"/>
    </x:row>
    <x:row r="51" ht="54" customHeight="1">
      <x:c r="A51" s="54" t="n">
        <x:v>50</x:v>
      </x:c>
      <x:c r="B51" s="54" t="str">
        <x:v>UT-050</x:v>
      </x:c>
      <x:c r="C51" s="54" t="str">
        <x:v>単体テスト</x:v>
      </x:c>
      <x:c r="D51" s="52" t="str">
        <x:v>Web UI</x:v>
      </x:c>
      <x:c r="E51" s="52" t="str">
        <x:v>bridge.js</x:v>
      </x:c>
      <x:c r="F51" s="52" t="str">
        <x:v>PCブラウザ用モックが動作すること</x:v>
      </x:c>
      <x:c r="G51" s="52" t="str">
        <x:v>PCブラウザでスキャン画面を開く</x:v>
      </x:c>
      <x:c r="H51" s="52" t="str">
        <x:v>DevToolsで Bridge.mockCard('MY_NUMBER_CARD') を実行する</x:v>
      </x:c>
      <x:c r="I51" s="52" t="str">
        <x:v>読取中表示後、確認画面にモックデータが表示される</x:v>
      </x:c>
      <x:c r="J51" s="54" t="str">
        <x:v>未実施</x:v>
      </x:c>
      <x:c r="K51" s="56" t="str"/>
      <x:c r="L51" s="54" t="str"/>
      <x:c r="M51" s="54" t="str"/>
      <x:c r="N51" s="54" t="str"/>
      <x:c r="O51" s="54" t="str">
        <x:v>低</x:v>
      </x:c>
      <x:c r="P51" s="52" t="str"/>
    </x:row>
    <x:row r="52" ht="54" customHeight="1">
      <x:c r="A52" s="54" t="n">
        <x:v>51</x:v>
      </x:c>
      <x:c r="B52" s="54" t="str">
        <x:v>UT-051</x:v>
      </x:c>
      <x:c r="C52" s="54" t="str">
        <x:v>単体テスト</x:v>
      </x:c>
      <x:c r="D52" s="52" t="str">
        <x:v>Web UI</x:v>
      </x:c>
      <x:c r="E52" s="52" t="str">
        <x:v>scan.blade.php</x:v>
      </x:c>
      <x:c r="F52" s="52" t="str">
        <x:v>送信成功後に画面上のカードデータを破棄すること</x:v>
      </x:c>
      <x:c r="G52" s="52" t="str">
        <x:v>確認画面を表示</x:v>
      </x:c>
      <x:c r="H52" s="52" t="str">
        <x:v>サーバー送信ボタンを押す</x:v>
      </x:c>
      <x:c r="I52" s="52" t="str">
        <x:v>完了表示後にスキャン画面へ戻り、currentCardData が null になる</x:v>
      </x:c>
      <x:c r="J52" s="54" t="str">
        <x:v>未実施</x:v>
      </x:c>
      <x:c r="K52" s="56" t="str"/>
      <x:c r="L52" s="54" t="str"/>
      <x:c r="M52" s="54" t="str"/>
      <x:c r="N52" s="54" t="str"/>
      <x:c r="O52" s="54" t="str">
        <x:v>高</x:v>
      </x:c>
      <x:c r="P52" s="52" t="str"/>
    </x:row>
    <x:row r="53" ht="54" customHeight="1">
      <x:c r="A53" s="54" t="n">
        <x:v>52</x:v>
      </x:c>
      <x:c r="B53" s="54" t="str">
        <x:v>IT-001</x:v>
      </x:c>
      <x:c r="C53" s="54" t="str">
        <x:v>結合テスト</x:v>
      </x:c>
      <x:c r="D53" s="52" t="str">
        <x:v>Android×Web</x:v>
      </x:c>
      <x:c r="E53" s="52" t="str">
        <x:v>起動・ログイン</x:v>
      </x:c>
      <x:c r="F53" s="52" t="str">
        <x:v>WebViewからLaravelログイン画面へ遷移できること</x:v>
      </x:c>
      <x:c r="G53" s="52" t="str">
        <x:v>タブレットとサーバーが同一ネットワークで疎通可能</x:v>
      </x:c>
      <x:c r="H53" s="52" t="str">
        <x:v>APKを起動し、未ログイン状態でアクセスする</x:v>
      </x:c>
      <x:c r="I53" s="52" t="str">
        <x:v>ログイン画面が表示される</x:v>
      </x:c>
      <x:c r="J53" s="54" t="str">
        <x:v>未実施</x:v>
      </x:c>
      <x:c r="K53" s="56" t="str"/>
      <x:c r="L53" s="54" t="str"/>
      <x:c r="M53" s="54" t="str"/>
      <x:c r="N53" s="54" t="str"/>
      <x:c r="O53" s="54" t="str">
        <x:v>高</x:v>
      </x:c>
      <x:c r="P53" s="52" t="str"/>
    </x:row>
    <x:row r="54" ht="54" customHeight="1">
      <x:c r="A54" s="54" t="n">
        <x:v>53</x:v>
      </x:c>
      <x:c r="B54" s="54" t="str">
        <x:v>IT-002</x:v>
      </x:c>
      <x:c r="C54" s="54" t="str">
        <x:v>結合テスト</x:v>
      </x:c>
      <x:c r="D54" s="52" t="str">
        <x:v>Android×Web</x:v>
      </x:c>
      <x:c r="E54" s="52" t="str">
        <x:v>セッション維持</x:v>
      </x:c>
      <x:c r="F54" s="52" t="str">
        <x:v>ログイン後にWebView Cookieでセッションが維持されること</x:v>
      </x:c>
      <x:c r="G54" s="52" t="str">
        <x:v>有効ユーザーでログイン済み</x:v>
      </x:c>
      <x:c r="H54" s="52" t="str">
        <x:v>APKを再起動し、保護ページを開く</x:v>
      </x:c>
      <x:c r="I54" s="52" t="str">
        <x:v>セッション有効期限内なら再ログイン不要または仕様通りに維持される</x:v>
      </x:c>
      <x:c r="J54" s="54" t="str">
        <x:v>未実施</x:v>
      </x:c>
      <x:c r="K54" s="56" t="str"/>
      <x:c r="L54" s="54" t="str"/>
      <x:c r="M54" s="54" t="str"/>
      <x:c r="N54" s="54" t="str"/>
      <x:c r="O54" s="54" t="str">
        <x:v>高</x:v>
      </x:c>
      <x:c r="P54" s="52" t="str"/>
    </x:row>
    <x:row r="55" ht="54" customHeight="1">
      <x:c r="A55" s="54" t="n">
        <x:v>54</x:v>
      </x:c>
      <x:c r="B55" s="54" t="str">
        <x:v>IT-003</x:v>
      </x:c>
      <x:c r="C55" s="54" t="str">
        <x:v>結合テスト</x:v>
      </x:c>
      <x:c r="D55" s="52" t="str">
        <x:v>Android×Web</x:v>
      </x:c>
      <x:c r="E55" s="52" t="str">
        <x:v>ログアウト連携</x:v>
      </x:c>
      <x:c r="F55" s="52" t="str">
        <x:v>ログアウト後に保護APIへアクセスできないこと</x:v>
      </x:c>
      <x:c r="G55" s="52" t="str">
        <x:v>ログイン済み</x:v>
      </x:c>
      <x:c r="H55" s="52" t="str">
        <x:v>ログアウトし、スキャン画面または /api/me にアクセス</x:v>
      </x:c>
      <x:c r="I55" s="52" t="str">
        <x:v>ログイン画面へリダイレクトまたは401/403相当になる</x:v>
      </x:c>
      <x:c r="J55" s="54" t="str">
        <x:v>未実施</x:v>
      </x:c>
      <x:c r="K55" s="56" t="str"/>
      <x:c r="L55" s="54" t="str"/>
      <x:c r="M55" s="54" t="str"/>
      <x:c r="N55" s="54" t="str"/>
      <x:c r="O55" s="54" t="str">
        <x:v>高</x:v>
      </x:c>
      <x:c r="P55" s="52" t="str"/>
    </x:row>
    <x:row r="56" ht="54" customHeight="1">
      <x:c r="A56" s="54" t="n">
        <x:v>55</x:v>
      </x:c>
      <x:c r="B56" s="54" t="str">
        <x:v>IT-004</x:v>
      </x:c>
      <x:c r="C56" s="54" t="str">
        <x:v>結合テスト</x:v>
      </x:c>
      <x:c r="D56" s="52" t="str">
        <x:v>Android×Web</x:v>
      </x:c>
      <x:c r="E56" s="52" t="str">
        <x:v>NFC読取→確認画面</x:v>
      </x:c>
      <x:c r="F56" s="52" t="str">
        <x:v>マイナンバーカード読取結果がWeb画面へ渡ること</x:v>
      </x:c>
      <x:c r="G56" s="52" t="str">
        <x:v>正しいPIN、収集設定デフォルト</x:v>
      </x:c>
      <x:c r="H56" s="52" t="str">
        <x:v>カードをタッチしPIN入力</x:v>
      </x:c>
      <x:c r="I56" s="52" t="str">
        <x:v>確認画面にカード種別、氏名、生年月日等が表示される</x:v>
      </x:c>
      <x:c r="J56" s="54" t="str">
        <x:v>未実施</x:v>
      </x:c>
      <x:c r="K56" s="56" t="str"/>
      <x:c r="L56" s="54" t="str"/>
      <x:c r="M56" s="54" t="str"/>
      <x:c r="N56" s="54" t="str"/>
      <x:c r="O56" s="54" t="str">
        <x:v>高</x:v>
      </x:c>
      <x:c r="P56" s="52" t="str"/>
    </x:row>
    <x:row r="57" ht="54" customHeight="1">
      <x:c r="A57" s="54" t="n">
        <x:v>56</x:v>
      </x:c>
      <x:c r="B57" s="54" t="str">
        <x:v>IT-005</x:v>
      </x:c>
      <x:c r="C57" s="54" t="str">
        <x:v>結合テスト</x:v>
      </x:c>
      <x:c r="D57" s="52" t="str">
        <x:v>Android×Web</x:v>
      </x:c>
      <x:c r="E57" s="52" t="str">
        <x:v>NFC読取→確認画面</x:v>
      </x:c>
      <x:c r="F57" s="52" t="str">
        <x:v>運転免許証読取結果がWeb画面へ渡ること</x:v>
      </x:c>
      <x:c r="G57" s="52" t="str">
        <x:v>正しい暗証番号1、収集設定デフォルト</x:v>
      </x:c>
      <x:c r="H57" s="52" t="str">
        <x:v>カードをタッチし暗証番号入力</x:v>
      </x:c>
      <x:c r="I57" s="52" t="str">
        <x:v>確認画面にカード種別、氏名、生年月日、住所等が表示される</x:v>
      </x:c>
      <x:c r="J57" s="54" t="str">
        <x:v>未実施</x:v>
      </x:c>
      <x:c r="K57" s="56" t="str"/>
      <x:c r="L57" s="54" t="str"/>
      <x:c r="M57" s="54" t="str"/>
      <x:c r="N57" s="54" t="str"/>
      <x:c r="O57" s="54" t="str">
        <x:v>高</x:v>
      </x:c>
      <x:c r="P57" s="52" t="str"/>
    </x:row>
    <x:row r="58" ht="54" customHeight="1">
      <x:c r="A58" s="54" t="n">
        <x:v>57</x:v>
      </x:c>
      <x:c r="B58" s="54" t="str">
        <x:v>IT-006</x:v>
      </x:c>
      <x:c r="C58" s="54" t="str">
        <x:v>結合テスト</x:v>
      </x:c>
      <x:c r="D58" s="52" t="str">
        <x:v>Web×API</x:v>
      </x:c>
      <x:c r="E58" s="52" t="str">
        <x:v>CSRF連携</x:v>
      </x:c>
      <x:c r="F58" s="52" t="str">
        <x:v>画面からのPOSTにCSRFトークンが付与されること</x:v>
      </x:c>
      <x:c r="G58" s="52" t="str">
        <x:v>ログイン済み、確認画面表示</x:v>
      </x:c>
      <x:c r="H58" s="52" t="str">
        <x:v>サーバー送信ボタンを押す</x:v>
      </x:c>
      <x:c r="I58" s="52" t="str">
        <x:v>X-CSRF-TOKEN付きでPOSTされ、正常登録できる</x:v>
      </x:c>
      <x:c r="J58" s="54" t="str">
        <x:v>未実施</x:v>
      </x:c>
      <x:c r="K58" s="56" t="str"/>
      <x:c r="L58" s="54" t="str"/>
      <x:c r="M58" s="54" t="str"/>
      <x:c r="N58" s="54" t="str"/>
      <x:c r="O58" s="54" t="str">
        <x:v>高</x:v>
      </x:c>
      <x:c r="P58" s="52" t="str"/>
    </x:row>
    <x:row r="59" ht="54" customHeight="1">
      <x:c r="A59" s="54" t="n">
        <x:v>58</x:v>
      </x:c>
      <x:c r="B59" s="54" t="str">
        <x:v>IT-007</x:v>
      </x:c>
      <x:c r="C59" s="54" t="str">
        <x:v>結合テスト</x:v>
      </x:c>
      <x:c r="D59" s="52" t="str">
        <x:v>Web×API</x:v>
      </x:c>
      <x:c r="E59" s="52" t="str">
        <x:v>CSRF連携</x:v>
      </x:c>
      <x:c r="F59" s="52" t="str">
        <x:v>CSRFトークンなしのPOSTが拒否されること</x:v>
      </x:c>
      <x:c r="G59" s="52" t="str">
        <x:v>ログイン済み</x:v>
      </x:c>
      <x:c r="H59" s="52" t="str">
        <x:v>DevTools等でX-CSRF-TOKENなしのPOSTを送る</x:v>
      </x:c>
      <x:c r="I59" s="52" t="str">
        <x:v>登録されず、419/403相当で拒否される</x:v>
      </x:c>
      <x:c r="J59" s="54" t="str">
        <x:v>未実施</x:v>
      </x:c>
      <x:c r="K59" s="56" t="str"/>
      <x:c r="L59" s="54" t="str"/>
      <x:c r="M59" s="54" t="str"/>
      <x:c r="N59" s="54" t="str"/>
      <x:c r="O59" s="54" t="str">
        <x:v>高</x:v>
      </x:c>
      <x:c r="P59" s="52" t="str"/>
    </x:row>
    <x:row r="60" ht="54" customHeight="1">
      <x:c r="A60" s="54" t="n">
        <x:v>59</x:v>
      </x:c>
      <x:c r="B60" s="54" t="str">
        <x:v>IT-008</x:v>
      </x:c>
      <x:c r="C60" s="54" t="str">
        <x:v>結合テスト</x:v>
      </x:c>
      <x:c r="D60" s="52" t="str">
        <x:v>Web×API</x:v>
      </x:c>
      <x:c r="E60" s="52" t="str">
        <x:v>登録連携</x:v>
      </x:c>
      <x:c r="F60" s="52" t="str">
        <x:v>確認画面の送信値がDBに登録されること</x:v>
      </x:c>
      <x:c r="G60" s="52" t="str">
        <x:v>カード読取済み</x:v>
      </x:c>
      <x:c r="H60" s="52" t="str">
        <x:v>サーバー送信する</x:v>
      </x:c>
      <x:c r="I60" s="52" t="str">
        <x:v>card_records に対象データが1件登録される</x:v>
      </x:c>
      <x:c r="J60" s="54" t="str">
        <x:v>未実施</x:v>
      </x:c>
      <x:c r="K60" s="56" t="str"/>
      <x:c r="L60" s="54" t="str"/>
      <x:c r="M60" s="54" t="str"/>
      <x:c r="N60" s="54" t="str"/>
      <x:c r="O60" s="54" t="str">
        <x:v>高</x:v>
      </x:c>
      <x:c r="P60" s="52" t="str"/>
    </x:row>
    <x:row r="61" ht="54" customHeight="1">
      <x:c r="A61" s="54" t="n">
        <x:v>60</x:v>
      </x:c>
      <x:c r="B61" s="54" t="str">
        <x:v>IT-009</x:v>
      </x:c>
      <x:c r="C61" s="54" t="str">
        <x:v>結合テスト</x:v>
      </x:c>
      <x:c r="D61" s="52" t="str">
        <x:v>Web×API</x:v>
      </x:c>
      <x:c r="E61" s="52" t="str">
        <x:v>登録連携</x:v>
      </x:c>
      <x:c r="F61" s="52" t="str">
        <x:v>送信失敗時に再送可能な状態になること</x:v>
      </x:c>
      <x:c r="G61" s="52" t="str">
        <x:v>APIを一時停止またはネットワーク遮断</x:v>
      </x:c>
      <x:c r="H61" s="52" t="str">
        <x:v>確認画面で送信する</x:v>
      </x:c>
      <x:c r="I61" s="52" t="str">
        <x:v>エラー表示となり、送信ボタンが再度押せる</x:v>
      </x:c>
      <x:c r="J61" s="54" t="str">
        <x:v>未実施</x:v>
      </x:c>
      <x:c r="K61" s="56" t="str"/>
      <x:c r="L61" s="54" t="str"/>
      <x:c r="M61" s="54" t="str"/>
      <x:c r="N61" s="54" t="str"/>
      <x:c r="O61" s="54" t="str">
        <x:v>高</x:v>
      </x:c>
      <x:c r="P61" s="52" t="str"/>
    </x:row>
    <x:row r="62" ht="54" customHeight="1">
      <x:c r="A62" s="54" t="n">
        <x:v>61</x:v>
      </x:c>
      <x:c r="B62" s="54" t="str">
        <x:v>IT-010</x:v>
      </x:c>
      <x:c r="C62" s="54" t="str">
        <x:v>結合テスト</x:v>
      </x:c>
      <x:c r="D62" s="52" t="str">
        <x:v>API×DB</x:v>
      </x:c>
      <x:c r="E62" s="52" t="str">
        <x:v>Oracle接続</x:v>
      </x:c>
      <x:c r="F62" s="52" t="str">
        <x:v>LaravelからOracleへ登録できること</x:v>
      </x:c>
      <x:c r="G62" s="52" t="str">
        <x:v>Oracle接続設定済み</x:v>
      </x:c>
      <x:c r="H62" s="52" t="str">
        <x:v>カードデータを登録する</x:v>
      </x:c>
      <x:c r="I62" s="52" t="str">
        <x:v>Oracleのcard_recordsに登録される</x:v>
      </x:c>
      <x:c r="J62" s="54" t="str">
        <x:v>未実施</x:v>
      </x:c>
      <x:c r="K62" s="56" t="str"/>
      <x:c r="L62" s="54" t="str"/>
      <x:c r="M62" s="54" t="str"/>
      <x:c r="N62" s="54" t="str"/>
      <x:c r="O62" s="54" t="str">
        <x:v>高</x:v>
      </x:c>
      <x:c r="P62" s="52" t="str"/>
    </x:row>
    <x:row r="63" ht="54" customHeight="1">
      <x:c r="A63" s="54" t="n">
        <x:v>62</x:v>
      </x:c>
      <x:c r="B63" s="54" t="str">
        <x:v>IT-011</x:v>
      </x:c>
      <x:c r="C63" s="54" t="str">
        <x:v>結合テスト</x:v>
      </x:c>
      <x:c r="D63" s="52" t="str">
        <x:v>API×DB</x:v>
      </x:c>
      <x:c r="E63" s="52" t="str">
        <x:v>Oracle接続</x:v>
      </x:c>
      <x:c r="F63" s="52" t="str">
        <x:v>DB障害時に利用者へエラーを返すこと</x:v>
      </x:c>
      <x:c r="G63" s="52" t="str">
        <x:v>Oracle停止または接続不可状態</x:v>
      </x:c>
      <x:c r="H63" s="52" t="str">
        <x:v>送信または一覧取得を行う</x:v>
      </x:c>
      <x:c r="I63" s="52" t="str">
        <x:v>アプリが落ちず、エラー表示または500応答となる。部分登録されない</x:v>
      </x:c>
      <x:c r="J63" s="54" t="str">
        <x:v>未実施</x:v>
      </x:c>
      <x:c r="K63" s="56" t="str"/>
      <x:c r="L63" s="54" t="str"/>
      <x:c r="M63" s="54" t="str"/>
      <x:c r="N63" s="54" t="str"/>
      <x:c r="O63" s="54" t="str">
        <x:v>高</x:v>
      </x:c>
      <x:c r="P63" s="52" t="str"/>
    </x:row>
    <x:row r="64" ht="54" customHeight="1">
      <x:c r="A64" s="54" t="n">
        <x:v>63</x:v>
      </x:c>
      <x:c r="B64" s="54" t="str">
        <x:v>IT-012</x:v>
      </x:c>
      <x:c r="C64" s="54" t="str">
        <x:v>結合テスト</x:v>
      </x:c>
      <x:c r="D64" s="52" t="str">
        <x:v>API×DB</x:v>
      </x:c>
      <x:c r="E64" s="52" t="str">
        <x:v>検索連携</x:v>
      </x:c>
      <x:c r="F64" s="52" t="str">
        <x:v>氏名検索がDB結果に反映されること</x:v>
      </x:c>
      <x:c r="G64" s="52" t="str">
        <x:v>複数の登録データを用意</x:v>
      </x:c>
      <x:c r="H64" s="52" t="str">
        <x:v>記録一覧で氏名の一部を検索</x:v>
      </x:c>
      <x:c r="I64" s="52" t="str">
        <x:v>該当データのみ表示される</x:v>
      </x:c>
      <x:c r="J64" s="54" t="str">
        <x:v>未実施</x:v>
      </x:c>
      <x:c r="K64" s="56" t="str"/>
      <x:c r="L64" s="54" t="str"/>
      <x:c r="M64" s="54" t="str"/>
      <x:c r="N64" s="54" t="str"/>
      <x:c r="O64" s="54" t="str">
        <x:v>中</x:v>
      </x:c>
      <x:c r="P64" s="52" t="str"/>
    </x:row>
    <x:row r="65" ht="54" customHeight="1">
      <x:c r="A65" s="54" t="n">
        <x:v>64</x:v>
      </x:c>
      <x:c r="B65" s="54" t="str">
        <x:v>IT-013</x:v>
      </x:c>
      <x:c r="C65" s="54" t="str">
        <x:v>結合テスト</x:v>
      </x:c>
      <x:c r="D65" s="52" t="str">
        <x:v>API×DB</x:v>
      </x:c>
      <x:c r="E65" s="52" t="str">
        <x:v>検索連携</x:v>
      </x:c>
      <x:c r="F65" s="52" t="str">
        <x:v>住所検索がDB結果に反映されること</x:v>
      </x:c>
      <x:c r="G65" s="52" t="str">
        <x:v>住所を含む登録データを用意</x:v>
      </x:c>
      <x:c r="H65" s="52" t="str">
        <x:v>記録一覧で住所の一部を検索</x:v>
      </x:c>
      <x:c r="I65" s="52" t="str">
        <x:v>該当データのみ表示される</x:v>
      </x:c>
      <x:c r="J65" s="54" t="str">
        <x:v>未実施</x:v>
      </x:c>
      <x:c r="K65" s="56" t="str"/>
      <x:c r="L65" s="54" t="str"/>
      <x:c r="M65" s="54" t="str"/>
      <x:c r="N65" s="54" t="str"/>
      <x:c r="O65" s="54" t="str">
        <x:v>中</x:v>
      </x:c>
      <x:c r="P65" s="52" t="str"/>
    </x:row>
    <x:row r="66" ht="54" customHeight="1">
      <x:c r="A66" s="54" t="n">
        <x:v>65</x:v>
      </x:c>
      <x:c r="B66" s="54" t="str">
        <x:v>IT-014</x:v>
      </x:c>
      <x:c r="C66" s="54" t="str">
        <x:v>結合テスト</x:v>
      </x:c>
      <x:c r="D66" s="52" t="str">
        <x:v>API×DB</x:v>
      </x:c>
      <x:c r="E66" s="52" t="str">
        <x:v>利用者分離</x:v>
      </x:c>
      <x:c r="F66" s="52" t="str">
        <x:v>ユーザーA/Bのデータが混在表示されないこと</x:v>
      </x:c>
      <x:c r="G66" s="52" t="str">
        <x:v>ユーザーA/Bでそれぞれ登録済み</x:v>
      </x:c>
      <x:c r="H66" s="52" t="str">
        <x:v>ユーザーAで一覧表示</x:v>
      </x:c>
      <x:c r="I66" s="52" t="str">
        <x:v>ユーザーBのデータは表示されない</x:v>
      </x:c>
      <x:c r="J66" s="54" t="str">
        <x:v>未実施</x:v>
      </x:c>
      <x:c r="K66" s="56" t="str"/>
      <x:c r="L66" s="54" t="str"/>
      <x:c r="M66" s="54" t="str"/>
      <x:c r="N66" s="54" t="str"/>
      <x:c r="O66" s="54" t="str">
        <x:v>高</x:v>
      </x:c>
      <x:c r="P66" s="52" t="str"/>
    </x:row>
    <x:row r="67" ht="54" customHeight="1">
      <x:c r="A67" s="54" t="n">
        <x:v>66</x:v>
      </x:c>
      <x:c r="B67" s="54" t="str">
        <x:v>IT-015</x:v>
      </x:c>
      <x:c r="C67" s="54" t="str">
        <x:v>結合テスト</x:v>
      </x:c>
      <x:c r="D67" s="52" t="str">
        <x:v>設定連携</x:v>
      </x:c>
      <x:c r="E67" s="52" t="str">
        <x:v>Android設定</x:v>
      </x:c>
      <x:c r="F67" s="52" t="str">
        <x:v>Android側収集OFFが画面表示に反映されること</x:v>
      </x:c>
      <x:c r="G67" s="52" t="str">
        <x:v>collect_address=false のAPKを用意</x:v>
      </x:c>
      <x:c r="H67" s="52" t="str">
        <x:v>カードを読み取る</x:v>
      </x:c>
      <x:c r="I67" s="52" t="str">
        <x:v>住所欄が確認画面に出ない</x:v>
      </x:c>
      <x:c r="J67" s="54" t="str">
        <x:v>未実施</x:v>
      </x:c>
      <x:c r="K67" s="56" t="str"/>
      <x:c r="L67" s="54" t="str"/>
      <x:c r="M67" s="54" t="str"/>
      <x:c r="N67" s="54" t="str"/>
      <x:c r="O67" s="54" t="str">
        <x:v>高</x:v>
      </x:c>
      <x:c r="P67" s="52" t="str"/>
    </x:row>
    <x:row r="68" ht="54" customHeight="1">
      <x:c r="A68" s="54" t="n">
        <x:v>67</x:v>
      </x:c>
      <x:c r="B68" s="54" t="str">
        <x:v>IT-016</x:v>
      </x:c>
      <x:c r="C68" s="54" t="str">
        <x:v>結合テスト</x:v>
      </x:c>
      <x:c r="D68" s="52" t="str">
        <x:v>設定連携</x:v>
      </x:c>
      <x:c r="E68" s="52" t="str">
        <x:v>サーバー設定</x:v>
      </x:c>
      <x:c r="F68" s="52" t="str">
        <x:v>/api/config の更新値が保存・取得できること</x:v>
      </x:c>
      <x:c r="G68" s="52" t="str">
        <x:v>ログイン済み</x:v>
      </x:c>
      <x:c r="H68" s="52" t="str">
        <x:v>設定をPUTし、GETで再確認する</x:v>
      </x:c>
      <x:c r="I68" s="52" t="str">
        <x:v>PUTした値がGETで返る</x:v>
      </x:c>
      <x:c r="J68" s="54" t="str">
        <x:v>未実施</x:v>
      </x:c>
      <x:c r="K68" s="56" t="str"/>
      <x:c r="L68" s="54" t="str"/>
      <x:c r="M68" s="54" t="str"/>
      <x:c r="N68" s="54" t="str"/>
      <x:c r="O68" s="54" t="str">
        <x:v>中</x:v>
      </x:c>
      <x:c r="P68" s="52" t="str"/>
    </x:row>
    <x:row r="69" ht="54" customHeight="1">
      <x:c r="A69" s="54" t="n">
        <x:v>68</x:v>
      </x:c>
      <x:c r="B69" s="54" t="str">
        <x:v>IT-017</x:v>
      </x:c>
      <x:c r="C69" s="54" t="str">
        <x:v>結合テスト</x:v>
      </x:c>
      <x:c r="D69" s="52" t="str">
        <x:v>設定連携</x:v>
      </x:c>
      <x:c r="E69" s="52" t="str">
        <x:v>クライアント/サーバー差分</x:v>
      </x:c>
      <x:c r="F69" s="52" t="str">
        <x:v>Android設定とサーバー設定が矛盾した場合の扱いを確認すること</x:v>
      </x:c>
      <x:c r="G69" s="52" t="str">
        <x:v>Androidは住所ON、サーバー設定は住所OFF等</x:v>
      </x:c>
      <x:c r="H69" s="52" t="str">
        <x:v>読取→送信→DB確認</x:v>
      </x:c>
      <x:c r="I69" s="52" t="str">
        <x:v>仕様上定義した優先順位に従って保存/破棄される</x:v>
      </x:c>
      <x:c r="J69" s="54" t="str">
        <x:v>未実施</x:v>
      </x:c>
      <x:c r="K69" s="56" t="str"/>
      <x:c r="L69" s="54" t="str"/>
      <x:c r="M69" s="54" t="str"/>
      <x:c r="N69" s="54" t="str"/>
      <x:c r="O69" s="54" t="str">
        <x:v>高</x:v>
      </x:c>
      <x:c r="P69" s="52" t="str">
        <x:v>仕様未確定の場合は課題化</x:v>
      </x:c>
    </x:row>
    <x:row r="70" ht="54" customHeight="1">
      <x:c r="A70" s="54" t="n">
        <x:v>69</x:v>
      </x:c>
      <x:c r="B70" s="54" t="str">
        <x:v>IT-018</x:v>
      </x:c>
      <x:c r="C70" s="54" t="str">
        <x:v>結合テスト</x:v>
      </x:c>
      <x:c r="D70" s="52" t="str">
        <x:v>NFC×API</x:v>
      </x:c>
      <x:c r="E70" s="52" t="str">
        <x:v>マイナンバーカード登録E2E</x:v>
      </x:c>
      <x:c r="F70" s="52" t="str">
        <x:v>マイナンバーカードを読み取りDB登録できること</x:v>
      </x:c>
      <x:c r="G70" s="52" t="str">
        <x:v>正しいPIN、有効ユーザー</x:v>
      </x:c>
      <x:c r="H70" s="52" t="str">
        <x:v>カード読取→確認→送信→一覧確認</x:v>
      </x:c>
      <x:c r="I70" s="52" t="str">
        <x:v>一覧に登録データが表示される</x:v>
      </x:c>
      <x:c r="J70" s="54" t="str">
        <x:v>未実施</x:v>
      </x:c>
      <x:c r="K70" s="56" t="str"/>
      <x:c r="L70" s="54" t="str"/>
      <x:c r="M70" s="54" t="str"/>
      <x:c r="N70" s="54" t="str"/>
      <x:c r="O70" s="54" t="str">
        <x:v>高</x:v>
      </x:c>
      <x:c r="P70" s="52" t="str"/>
    </x:row>
    <x:row r="71" ht="54" customHeight="1">
      <x:c r="A71" s="54" t="n">
        <x:v>70</x:v>
      </x:c>
      <x:c r="B71" s="54" t="str">
        <x:v>IT-019</x:v>
      </x:c>
      <x:c r="C71" s="54" t="str">
        <x:v>結合テスト</x:v>
      </x:c>
      <x:c r="D71" s="52" t="str">
        <x:v>NFC×API</x:v>
      </x:c>
      <x:c r="E71" s="52" t="str">
        <x:v>運転免許証登録E2E</x:v>
      </x:c>
      <x:c r="F71" s="52" t="str">
        <x:v>運転免許証を読み取りDB登録できること</x:v>
      </x:c>
      <x:c r="G71" s="52" t="str">
        <x:v>正しい暗証番号1、有効ユーザー</x:v>
      </x:c>
      <x:c r="H71" s="52" t="str">
        <x:v>カード読取→確認→送信→一覧確認</x:v>
      </x:c>
      <x:c r="I71" s="52" t="str">
        <x:v>一覧に登録データが表示される</x:v>
      </x:c>
      <x:c r="J71" s="54" t="str">
        <x:v>未実施</x:v>
      </x:c>
      <x:c r="K71" s="56" t="str"/>
      <x:c r="L71" s="54" t="str"/>
      <x:c r="M71" s="54" t="str"/>
      <x:c r="N71" s="54" t="str"/>
      <x:c r="O71" s="54" t="str">
        <x:v>高</x:v>
      </x:c>
      <x:c r="P71" s="52" t="str"/>
    </x:row>
    <x:row r="72" ht="54" customHeight="1">
      <x:c r="A72" s="54" t="n">
        <x:v>71</x:v>
      </x:c>
      <x:c r="B72" s="54" t="str">
        <x:v>IT-020</x:v>
      </x:c>
      <x:c r="C72" s="54" t="str">
        <x:v>結合テスト</x:v>
      </x:c>
      <x:c r="D72" s="52" t="str">
        <x:v>NFC×API</x:v>
      </x:c>
      <x:c r="E72" s="52" t="str">
        <x:v>キャンセル</x:v>
      </x:c>
      <x:c r="F72" s="52" t="str">
        <x:v>確認画面キャンセル時に登録されないこと</x:v>
      </x:c>
      <x:c r="G72" s="52" t="str">
        <x:v>カード読取済み</x:v>
      </x:c>
      <x:c r="H72" s="52" t="str">
        <x:v>確認画面でキャンセルする</x:v>
      </x:c>
      <x:c r="I72" s="52" t="str">
        <x:v>DBに登録されず、スキャン画面に戻る</x:v>
      </x:c>
      <x:c r="J72" s="54" t="str">
        <x:v>未実施</x:v>
      </x:c>
      <x:c r="K72" s="56" t="str"/>
      <x:c r="L72" s="54" t="str"/>
      <x:c r="M72" s="54" t="str"/>
      <x:c r="N72" s="54" t="str"/>
      <x:c r="O72" s="54" t="str">
        <x:v>高</x:v>
      </x:c>
      <x:c r="P72" s="52" t="str"/>
    </x:row>
    <x:row r="73" ht="54" customHeight="1">
      <x:c r="A73" s="54" t="n">
        <x:v>72</x:v>
      </x:c>
      <x:c r="B73" s="54" t="str">
        <x:v>IT-021</x:v>
      </x:c>
      <x:c r="C73" s="54" t="str">
        <x:v>結合テスト</x:v>
      </x:c>
      <x:c r="D73" s="52" t="str">
        <x:v>エラー連携</x:v>
      </x:c>
      <x:c r="E73" s="52" t="str">
        <x:v>カード取外し</x:v>
      </x:c>
      <x:c r="F73" s="52" t="str">
        <x:v>読取途中でカードを離した場合に復帰できること</x:v>
      </x:c>
      <x:c r="G73" s="52" t="str">
        <x:v>カード読取中</x:v>
      </x:c>
      <x:c r="H73" s="52" t="str">
        <x:v>カードを離す</x:v>
      </x:c>
      <x:c r="I73" s="52" t="str">
        <x:v>エラー表示後、再度スキャン可能になる</x:v>
      </x:c>
      <x:c r="J73" s="54" t="str">
        <x:v>未実施</x:v>
      </x:c>
      <x:c r="K73" s="56" t="str"/>
      <x:c r="L73" s="54" t="str"/>
      <x:c r="M73" s="54" t="str"/>
      <x:c r="N73" s="54" t="str"/>
      <x:c r="O73" s="54" t="str">
        <x:v>高</x:v>
      </x:c>
      <x:c r="P73" s="52" t="str"/>
    </x:row>
    <x:row r="74" ht="54" customHeight="1">
      <x:c r="A74" s="54" t="n">
        <x:v>73</x:v>
      </x:c>
      <x:c r="B74" s="54" t="str">
        <x:v>IT-022</x:v>
      </x:c>
      <x:c r="C74" s="54" t="str">
        <x:v>結合テスト</x:v>
      </x:c>
      <x:c r="D74" s="52" t="str">
        <x:v>エラー連携</x:v>
      </x:c>
      <x:c r="E74" s="52" t="str">
        <x:v>通信断</x:v>
      </x:c>
      <x:c r="F74" s="52" t="str">
        <x:v>サーバー送信中の通信断を扱えること</x:v>
      </x:c>
      <x:c r="G74" s="52" t="str">
        <x:v>確認画面表示</x:v>
      </x:c>
      <x:c r="H74" s="52" t="str">
        <x:v>ネットワークを切断して送信</x:v>
      </x:c>
      <x:c r="I74" s="52" t="str">
        <x:v>エラー表示となり、未登録または重複なしで扱われる</x:v>
      </x:c>
      <x:c r="J74" s="54" t="str">
        <x:v>未実施</x:v>
      </x:c>
      <x:c r="K74" s="56" t="str"/>
      <x:c r="L74" s="54" t="str"/>
      <x:c r="M74" s="54" t="str"/>
      <x:c r="N74" s="54" t="str"/>
      <x:c r="O74" s="54" t="str">
        <x:v>高</x:v>
      </x:c>
      <x:c r="P74" s="52" t="str"/>
    </x:row>
    <x:row r="75" ht="54" customHeight="1">
      <x:c r="A75" s="54" t="n">
        <x:v>74</x:v>
      </x:c>
      <x:c r="B75" s="54" t="str">
        <x:v>IT-023</x:v>
      </x:c>
      <x:c r="C75" s="54" t="str">
        <x:v>結合テスト</x:v>
      </x:c>
      <x:c r="D75" s="52" t="str">
        <x:v>エラー連携</x:v>
      </x:c>
      <x:c r="E75" s="52" t="str">
        <x:v>セッション切れ</x:v>
      </x:c>
      <x:c r="F75" s="52" t="str">
        <x:v>確認画面表示後にセッション切れとなった場合の挙動</x:v>
      </x:c>
      <x:c r="G75" s="52" t="str">
        <x:v>セッション有効期限を短く設定</x:v>
      </x:c>
      <x:c r="H75" s="52" t="str">
        <x:v>確認画面で時間経過後に送信</x:v>
      </x:c>
      <x:c r="I75" s="52" t="str">
        <x:v>ログイン要求またはエラーとなり、意図しない登録が行われない</x:v>
      </x:c>
      <x:c r="J75" s="54" t="str">
        <x:v>未実施</x:v>
      </x:c>
      <x:c r="K75" s="56" t="str"/>
      <x:c r="L75" s="54" t="str"/>
      <x:c r="M75" s="54" t="str"/>
      <x:c r="N75" s="54" t="str"/>
      <x:c r="O75" s="54" t="str">
        <x:v>高</x:v>
      </x:c>
      <x:c r="P75" s="52" t="str"/>
    </x:row>
    <x:row r="76" ht="54" customHeight="1">
      <x:c r="A76" s="54" t="n">
        <x:v>75</x:v>
      </x:c>
      <x:c r="B76" s="54" t="str">
        <x:v>IT-024</x:v>
      </x:c>
      <x:c r="C76" s="54" t="str">
        <x:v>結合テスト</x:v>
      </x:c>
      <x:c r="D76" s="52" t="str">
        <x:v>UI連携</x:v>
      </x:c>
      <x:c r="E76" s="52" t="str">
        <x:v>記録一覧詳細</x:v>
      </x:c>
      <x:c r="F76" s="52" t="str">
        <x:v>一覧から詳細モーダルを表示できること</x:v>
      </x:c>
      <x:c r="G76" s="52" t="str">
        <x:v>登録データあり</x:v>
      </x:c>
      <x:c r="H76" s="52" t="str">
        <x:v>記録一覧で行を押下</x:v>
      </x:c>
      <x:c r="I76" s="52" t="str">
        <x:v>詳細モーダルに全項目が表示される</x:v>
      </x:c>
      <x:c r="J76" s="54" t="str">
        <x:v>未実施</x:v>
      </x:c>
      <x:c r="K76" s="56" t="str"/>
      <x:c r="L76" s="54" t="str"/>
      <x:c r="M76" s="54" t="str"/>
      <x:c r="N76" s="54" t="str"/>
      <x:c r="O76" s="54" t="str">
        <x:v>中</x:v>
      </x:c>
      <x:c r="P76" s="52" t="str"/>
    </x:row>
    <x:row r="77" ht="54" customHeight="1">
      <x:c r="A77" s="54" t="n">
        <x:v>76</x:v>
      </x:c>
      <x:c r="B77" s="54" t="str">
        <x:v>IT-025</x:v>
      </x:c>
      <x:c r="C77" s="54" t="str">
        <x:v>結合テスト</x:v>
      </x:c>
      <x:c r="D77" s="52" t="str">
        <x:v>UI連携</x:v>
      </x:c>
      <x:c r="E77" s="52" t="str">
        <x:v>戻る操作</x:v>
      </x:c>
      <x:c r="F77" s="52" t="str">
        <x:v>Androidバック操作がWebView履歴に従うこと</x:v>
      </x:c>
      <x:c r="G77" s="52" t="str">
        <x:v>複数画面を遷移済み</x:v>
      </x:c>
      <x:c r="H77" s="52" t="str">
        <x:v>端末の戻る操作を行う</x:v>
      </x:c>
      <x:c r="I77" s="52" t="str">
        <x:v>WebView履歴がある場合は前画面に戻り、履歴なしならアプリ終了相当になる</x:v>
      </x:c>
      <x:c r="J77" s="54" t="str">
        <x:v>未実施</x:v>
      </x:c>
      <x:c r="K77" s="56" t="str"/>
      <x:c r="L77" s="54" t="str"/>
      <x:c r="M77" s="54" t="str"/>
      <x:c r="N77" s="54" t="str"/>
      <x:c r="O77" s="54" t="str">
        <x:v>低</x:v>
      </x:c>
      <x:c r="P77" s="52" t="str"/>
    </x:row>
    <x:row r="78" ht="54" customHeight="1">
      <x:c r="A78" s="54" t="n">
        <x:v>77</x:v>
      </x:c>
      <x:c r="B78" s="54" t="str">
        <x:v>IT-026</x:v>
      </x:c>
      <x:c r="C78" s="54" t="str">
        <x:v>結合テスト</x:v>
      </x:c>
      <x:c r="D78" s="52" t="str">
        <x:v>UI連携</x:v>
      </x:c>
      <x:c r="E78" s="52" t="str">
        <x:v>画面回転/横向き</x:v>
      </x:c>
      <x:c r="F78" s="52" t="str">
        <x:v>横向き表示で入力・確認が崩れないこと</x:v>
      </x:c>
      <x:c r="G78" s="52" t="str">
        <x:v>タブレット横向き</x:v>
      </x:c>
      <x:c r="H78" s="52" t="str">
        <x:v>ログイン、読取、確認、一覧を表示</x:v>
      </x:c>
      <x:c r="I78" s="52" t="str">
        <x:v>主要ボタン・項目が画面内で操作できる</x:v>
      </x:c>
      <x:c r="J78" s="54" t="str">
        <x:v>未実施</x:v>
      </x:c>
      <x:c r="K78" s="56" t="str"/>
      <x:c r="L78" s="54" t="str"/>
      <x:c r="M78" s="54" t="str"/>
      <x:c r="N78" s="54" t="str"/>
      <x:c r="O78" s="54" t="str">
        <x:v>中</x:v>
      </x:c>
      <x:c r="P78" s="52" t="str"/>
    </x:row>
    <x:row r="79" ht="54" customHeight="1">
      <x:c r="A79" s="54" t="n">
        <x:v>78</x:v>
      </x:c>
      <x:c r="B79" s="54" t="str">
        <x:v>IT-027</x:v>
      </x:c>
      <x:c r="C79" s="54" t="str">
        <x:v>結合テスト</x:v>
      </x:c>
      <x:c r="D79" s="52" t="str">
        <x:v>API×DB</x:v>
      </x:c>
      <x:c r="E79" s="52" t="str">
        <x:v>重複登録</x:v>
      </x:c>
      <x:c r="F79" s="52" t="str">
        <x:v>同一カードを連続送信した場合の扱いを確認すること</x:v>
      </x:c>
      <x:c r="G79" s="52" t="str">
        <x:v>同一カード読取済み</x:v>
      </x:c>
      <x:c r="H79" s="52" t="str">
        <x:v>短時間で2回送信する</x:v>
      </x:c>
      <x:c r="I79" s="52" t="str">
        <x:v>仕様通りに2件登録または重複防止される。想定外の二重登録がない</x:v>
      </x:c>
      <x:c r="J79" s="54" t="str">
        <x:v>未実施</x:v>
      </x:c>
      <x:c r="K79" s="56" t="str"/>
      <x:c r="L79" s="54" t="str"/>
      <x:c r="M79" s="54" t="str"/>
      <x:c r="N79" s="54" t="str"/>
      <x:c r="O79" s="54" t="str">
        <x:v>中</x:v>
      </x:c>
      <x:c r="P79" s="52" t="str">
        <x:v>重複制御の要否を確認</x:v>
      </x:c>
    </x:row>
    <x:row r="80" ht="54" customHeight="1">
      <x:c r="A80" s="54" t="n">
        <x:v>79</x:v>
      </x:c>
      <x:c r="B80" s="54" t="str">
        <x:v>IT-028</x:v>
      </x:c>
      <x:c r="C80" s="54" t="str">
        <x:v>結合テスト</x:v>
      </x:c>
      <x:c r="D80" s="52" t="str">
        <x:v>API×DB</x:v>
      </x:c>
      <x:c r="E80" s="52" t="str">
        <x:v>submitted_at</x:v>
      </x:c>
      <x:c r="F80" s="52" t="str">
        <x:v>登録日時がサーバー時刻で保存されること</x:v>
      </x:c>
      <x:c r="G80" s="52" t="str">
        <x:v>サーバー時刻を確認</x:v>
      </x:c>
      <x:c r="H80" s="52" t="str">
        <x:v>カードデータを送信</x:v>
      </x:c>
      <x:c r="I80" s="52" t="str">
        <x:v>submitted_at が送信時刻に近い値で保存される</x:v>
      </x:c>
      <x:c r="J80" s="54" t="str">
        <x:v>未実施</x:v>
      </x:c>
      <x:c r="K80" s="56" t="str"/>
      <x:c r="L80" s="54" t="str"/>
      <x:c r="M80" s="54" t="str"/>
      <x:c r="N80" s="54" t="str"/>
      <x:c r="O80" s="54" t="str">
        <x:v>中</x:v>
      </x:c>
      <x:c r="P80" s="52" t="str"/>
    </x:row>
    <x:row r="81" ht="54" customHeight="1">
      <x:c r="A81" s="54" t="n">
        <x:v>80</x:v>
      </x:c>
      <x:c r="B81" s="54" t="str">
        <x:v>IT-029</x:v>
      </x:c>
      <x:c r="C81" s="54" t="str">
        <x:v>結合テスト</x:v>
      </x:c>
      <x:c r="D81" s="52" t="str">
        <x:v>API×DB</x:v>
      </x:c>
      <x:c r="E81" s="52" t="str">
        <x:v>一覧ソート</x:v>
      </x:c>
      <x:c r="F81" s="52" t="str">
        <x:v>新しい登録が上位に表示されること</x:v>
      </x:c>
      <x:c r="G81" s="52" t="str">
        <x:v>複数件を時刻差で登録</x:v>
      </x:c>
      <x:c r="H81" s="52" t="str">
        <x:v>記録一覧を表示</x:v>
      </x:c>
      <x:c r="I81" s="52" t="str">
        <x:v>submitted_at 降順で表示される</x:v>
      </x:c>
      <x:c r="J81" s="54" t="str">
        <x:v>未実施</x:v>
      </x:c>
      <x:c r="K81" s="56" t="str"/>
      <x:c r="L81" s="54" t="str"/>
      <x:c r="M81" s="54" t="str"/>
      <x:c r="N81" s="54" t="str"/>
      <x:c r="O81" s="54" t="str">
        <x:v>中</x:v>
      </x:c>
      <x:c r="P81" s="52" t="str"/>
    </x:row>
    <x:row r="82" ht="54" customHeight="1">
      <x:c r="A82" s="54" t="n">
        <x:v>81</x:v>
      </x:c>
      <x:c r="B82" s="54" t="str">
        <x:v>ST-001</x:v>
      </x:c>
      <x:c r="C82" s="54" t="str">
        <x:v>総合テスト</x:v>
      </x:c>
      <x:c r="D82" s="52" t="str">
        <x:v>業務シナリオ</x:v>
      </x:c>
      <x:c r="E82" s="52" t="str">
        <x:v>初回利用</x:v>
      </x:c>
      <x:c r="F82" s="52" t="str">
        <x:v>初期導入後、管理者がユーザーを準備し利用者が初回ログインできること</x:v>
      </x:c>
      <x:c r="G82" s="52" t="str">
        <x:v>DBマイグレーション/seedまたはユーザー登録済み</x:v>
      </x:c>
      <x:c r="H82" s="52" t="str">
        <x:v>サーバー起動→APK起動→ログイン</x:v>
      </x:c>
      <x:c r="I82" s="52" t="str">
        <x:v>利用者がスキャン画面まで到達できる</x:v>
      </x:c>
      <x:c r="J82" s="54" t="str">
        <x:v>未実施</x:v>
      </x:c>
      <x:c r="K82" s="56" t="str"/>
      <x:c r="L82" s="54" t="str"/>
      <x:c r="M82" s="54" t="str"/>
      <x:c r="N82" s="54" t="str"/>
      <x:c r="O82" s="54" t="str">
        <x:v>高</x:v>
      </x:c>
      <x:c r="P82" s="52" t="str"/>
    </x:row>
    <x:row r="83" ht="54" customHeight="1">
      <x:c r="A83" s="54" t="n">
        <x:v>82</x:v>
      </x:c>
      <x:c r="B83" s="54" t="str">
        <x:v>ST-002</x:v>
      </x:c>
      <x:c r="C83" s="54" t="str">
        <x:v>総合テスト</x:v>
      </x:c>
      <x:c r="D83" s="52" t="str">
        <x:v>業務シナリオ</x:v>
      </x:c>
      <x:c r="E83" s="52" t="str">
        <x:v>マイナンバーカード受付</x:v>
      </x:c>
      <x:c r="F83" s="52" t="str">
        <x:v>実運用想定のマイナンバーカード受付が完了すること</x:v>
      </x:c>
      <x:c r="G83" s="52" t="str">
        <x:v>本番同等ネットワーク、実タブレット</x:v>
      </x:c>
      <x:c r="H83" s="52" t="str">
        <x:v>ログイン→カードタッチ→PIN入力→確認→送信→一覧確認</x:v>
      </x:c>
      <x:c r="I83" s="52" t="str">
        <x:v>受付者本人の一覧に登録内容が表示される</x:v>
      </x:c>
      <x:c r="J83" s="54" t="str">
        <x:v>未実施</x:v>
      </x:c>
      <x:c r="K83" s="56" t="str"/>
      <x:c r="L83" s="54" t="str"/>
      <x:c r="M83" s="54" t="str"/>
      <x:c r="N83" s="54" t="str"/>
      <x:c r="O83" s="54" t="str">
        <x:v>高</x:v>
      </x:c>
      <x:c r="P83" s="52" t="str"/>
    </x:row>
    <x:row r="84" ht="54" customHeight="1">
      <x:c r="A84" s="54" t="n">
        <x:v>83</x:v>
      </x:c>
      <x:c r="B84" s="54" t="str">
        <x:v>ST-003</x:v>
      </x:c>
      <x:c r="C84" s="54" t="str">
        <x:v>総合テスト</x:v>
      </x:c>
      <x:c r="D84" s="52" t="str">
        <x:v>業務シナリオ</x:v>
      </x:c>
      <x:c r="E84" s="52" t="str">
        <x:v>運転免許証受付</x:v>
      </x:c>
      <x:c r="F84" s="52" t="str">
        <x:v>実運用想定の運転免許証受付が完了すること</x:v>
      </x:c>
      <x:c r="G84" s="52" t="str">
        <x:v>本番同等ネットワーク、実タブレット</x:v>
      </x:c>
      <x:c r="H84" s="52" t="str">
        <x:v>ログイン→カードタッチ→暗証番号入力→確認→送信→一覧確認</x:v>
      </x:c>
      <x:c r="I84" s="52" t="str">
        <x:v>受付者本人の一覧に登録内容が表示される</x:v>
      </x:c>
      <x:c r="J84" s="54" t="str">
        <x:v>未実施</x:v>
      </x:c>
      <x:c r="K84" s="56" t="str"/>
      <x:c r="L84" s="54" t="str"/>
      <x:c r="M84" s="54" t="str"/>
      <x:c r="N84" s="54" t="str"/>
      <x:c r="O84" s="54" t="str">
        <x:v>高</x:v>
      </x:c>
      <x:c r="P84" s="52" t="str"/>
    </x:row>
    <x:row r="85" ht="54" customHeight="1">
      <x:c r="A85" s="54" t="n">
        <x:v>84</x:v>
      </x:c>
      <x:c r="B85" s="54" t="str">
        <x:v>ST-004</x:v>
      </x:c>
      <x:c r="C85" s="54" t="str">
        <x:v>総合テスト</x:v>
      </x:c>
      <x:c r="D85" s="52" t="str">
        <x:v>業務シナリオ</x:v>
      </x:c>
      <x:c r="E85" s="52" t="str">
        <x:v>利用者間分離</x:v>
      </x:c>
      <x:c r="F85" s="52" t="str">
        <x:v>複数職員が同時に登録しても自分のデータのみ扱えること</x:v>
      </x:c>
      <x:c r="G85" s="52" t="str">
        <x:v>ユーザーA/B、タブレット2台またはブラウザ2つ</x:v>
      </x:c>
      <x:c r="H85" s="52" t="str">
        <x:v>同時に読取/登録/一覧確認を行う</x:v>
      </x:c>
      <x:c r="I85" s="52" t="str">
        <x:v>各利用者は自分の登録分のみ表示される</x:v>
      </x:c>
      <x:c r="J85" s="54" t="str">
        <x:v>未実施</x:v>
      </x:c>
      <x:c r="K85" s="56" t="str"/>
      <x:c r="L85" s="54" t="str"/>
      <x:c r="M85" s="54" t="str"/>
      <x:c r="N85" s="54" t="str"/>
      <x:c r="O85" s="54" t="str">
        <x:v>高</x:v>
      </x:c>
      <x:c r="P85" s="52" t="str"/>
    </x:row>
    <x:row r="86" ht="54" customHeight="1">
      <x:c r="A86" s="54" t="n">
        <x:v>85</x:v>
      </x:c>
      <x:c r="B86" s="54" t="str">
        <x:v>ST-005</x:v>
      </x:c>
      <x:c r="C86" s="54" t="str">
        <x:v>総合テスト</x:v>
      </x:c>
      <x:c r="D86" s="52" t="str">
        <x:v>業務シナリオ</x:v>
      </x:c>
      <x:c r="E86" s="52" t="str">
        <x:v>登録後確認</x:v>
      </x:c>
      <x:c r="F86" s="52" t="str">
        <x:v>登録後に一覧検索で該当者を探せること</x:v>
      </x:c>
      <x:c r="G86" s="52" t="str">
        <x:v>複数件登録済み</x:v>
      </x:c>
      <x:c r="H86" s="52" t="str">
        <x:v>氏名/フリガナ/住所で検索する</x:v>
      </x:c>
      <x:c r="I86" s="52" t="str">
        <x:v>該当データを見つけ、詳細を確認できる</x:v>
      </x:c>
      <x:c r="J86" s="54" t="str">
        <x:v>未実施</x:v>
      </x:c>
      <x:c r="K86" s="56" t="str"/>
      <x:c r="L86" s="54" t="str"/>
      <x:c r="M86" s="54" t="str"/>
      <x:c r="N86" s="54" t="str"/>
      <x:c r="O86" s="54" t="str">
        <x:v>中</x:v>
      </x:c>
      <x:c r="P86" s="52" t="str"/>
    </x:row>
    <x:row r="87" ht="54" customHeight="1">
      <x:c r="A87" s="54" t="n">
        <x:v>86</x:v>
      </x:c>
      <x:c r="B87" s="54" t="str">
        <x:v>ST-006</x:v>
      </x:c>
      <x:c r="C87" s="54" t="str">
        <x:v>総合テスト</x:v>
      </x:c>
      <x:c r="D87" s="52" t="str">
        <x:v>業務シナリオ</x:v>
      </x:c>
      <x:c r="E87" s="52" t="str">
        <x:v>登録キャンセル</x:v>
      </x:c>
      <x:c r="F87" s="52" t="str">
        <x:v>利用者が確認画面でキャンセルした場合に業務上問題なく戻れること</x:v>
      </x:c>
      <x:c r="G87" s="52" t="str">
        <x:v>カード読取済み</x:v>
      </x:c>
      <x:c r="H87" s="52" t="str">
        <x:v>確認内容不一致としてキャンセル</x:v>
      </x:c>
      <x:c r="I87" s="52" t="str">
        <x:v>データ登録されず、再スキャンできる</x:v>
      </x:c>
      <x:c r="J87" s="54" t="str">
        <x:v>未実施</x:v>
      </x:c>
      <x:c r="K87" s="56" t="str"/>
      <x:c r="L87" s="54" t="str"/>
      <x:c r="M87" s="54" t="str"/>
      <x:c r="N87" s="54" t="str"/>
      <x:c r="O87" s="54" t="str">
        <x:v>高</x:v>
      </x:c>
      <x:c r="P87" s="52" t="str"/>
    </x:row>
    <x:row r="88" ht="54" customHeight="1">
      <x:c r="A88" s="54" t="n">
        <x:v>87</x:v>
      </x:c>
      <x:c r="B88" s="54" t="str">
        <x:v>ST-007</x:v>
      </x:c>
      <x:c r="C88" s="54" t="str">
        <x:v>総合テスト</x:v>
      </x:c>
      <x:c r="D88" s="52" t="str">
        <x:v>業務シナリオ</x:v>
      </x:c>
      <x:c r="E88" s="52" t="str">
        <x:v>PIN誤入力</x:v>
      </x:c>
      <x:c r="F88" s="52" t="str">
        <x:v>PIN誤入力時の窓口対応が可能であること</x:v>
      </x:c>
      <x:c r="G88" s="52" t="str">
        <x:v>検証カード、誤PINを使用</x:v>
      </x:c>
      <x:c r="H88" s="52" t="str">
        <x:v>誤PINを入力する</x:v>
      </x:c>
      <x:c r="I88" s="52" t="str">
        <x:v>残回数等のメッセージを確認し、業務手順に従い再入力/中止できる</x:v>
      </x:c>
      <x:c r="J88" s="54" t="str">
        <x:v>未実施</x:v>
      </x:c>
      <x:c r="K88" s="56" t="str"/>
      <x:c r="L88" s="54" t="str"/>
      <x:c r="M88" s="54" t="str"/>
      <x:c r="N88" s="54" t="str"/>
      <x:c r="O88" s="54" t="str">
        <x:v>高</x:v>
      </x:c>
      <x:c r="P88" s="52" t="str"/>
    </x:row>
    <x:row r="89" ht="54" customHeight="1">
      <x:c r="A89" s="54" t="n">
        <x:v>88</x:v>
      </x:c>
      <x:c r="B89" s="54" t="str">
        <x:v>ST-008</x:v>
      </x:c>
      <x:c r="C89" s="54" t="str">
        <x:v>総合テスト</x:v>
      </x:c>
      <x:c r="D89" s="52" t="str">
        <x:v>業務シナリオ</x:v>
      </x:c>
      <x:c r="E89" s="52" t="str">
        <x:v>カード非対応</x:v>
      </x:c>
      <x:c r="F89" s="52" t="str">
        <x:v>非対応カード提示時に利用者へ説明できること</x:v>
      </x:c>
      <x:c r="G89" s="52" t="str">
        <x:v>非対応カードを用意</x:v>
      </x:c>
      <x:c r="H89" s="52" t="str">
        <x:v>カードをタッチ</x:v>
      </x:c>
      <x:c r="I89" s="52" t="str">
        <x:v>非対応メッセージが表示され、業務担当者が次操作に移れる</x:v>
      </x:c>
      <x:c r="J89" s="54" t="str">
        <x:v>未実施</x:v>
      </x:c>
      <x:c r="K89" s="56" t="str"/>
      <x:c r="L89" s="54" t="str"/>
      <x:c r="M89" s="54" t="str"/>
      <x:c r="N89" s="54" t="str"/>
      <x:c r="O89" s="54" t="str">
        <x:v>中</x:v>
      </x:c>
      <x:c r="P89" s="52" t="str"/>
    </x:row>
    <x:row r="90" ht="54" customHeight="1">
      <x:c r="A90" s="54" t="n">
        <x:v>89</x:v>
      </x:c>
      <x:c r="B90" s="54" t="str">
        <x:v>ST-009</x:v>
      </x:c>
      <x:c r="C90" s="54" t="str">
        <x:v>総合テスト</x:v>
      </x:c>
      <x:c r="D90" s="52" t="str">
        <x:v>業務シナリオ</x:v>
      </x:c>
      <x:c r="E90" s="52" t="str">
        <x:v>サーバー停止</x:v>
      </x:c>
      <x:c r="F90" s="52" t="str">
        <x:v>サーバー停止時の窓口影響を確認すること</x:v>
      </x:c>
      <x:c r="G90" s="52" t="str">
        <x:v>Laravelサーバー停止</x:v>
      </x:c>
      <x:c r="H90" s="52" t="str">
        <x:v>APK起動または送信操作</x:v>
      </x:c>
      <x:c r="I90" s="52" t="str">
        <x:v>接続不可が判別でき、業務担当者が代替手順へ移れる</x:v>
      </x:c>
      <x:c r="J90" s="54" t="str">
        <x:v>未実施</x:v>
      </x:c>
      <x:c r="K90" s="56" t="str"/>
      <x:c r="L90" s="54" t="str"/>
      <x:c r="M90" s="54" t="str"/>
      <x:c r="N90" s="54" t="str"/>
      <x:c r="O90" s="54" t="str">
        <x:v>高</x:v>
      </x:c>
      <x:c r="P90" s="52" t="str"/>
    </x:row>
    <x:row r="91" ht="54" customHeight="1">
      <x:c r="A91" s="54" t="n">
        <x:v>90</x:v>
      </x:c>
      <x:c r="B91" s="54" t="str">
        <x:v>ST-010</x:v>
      </x:c>
      <x:c r="C91" s="54" t="str">
        <x:v>総合テスト</x:v>
      </x:c>
      <x:c r="D91" s="52" t="str">
        <x:v>業務シナリオ</x:v>
      </x:c>
      <x:c r="E91" s="52" t="str">
        <x:v>ネットワーク不安定</x:v>
      </x:c>
      <x:c r="F91" s="52" t="str">
        <x:v>通信が一時的に不安定な場合の復旧確認</x:v>
      </x:c>
      <x:c r="G91" s="52" t="str">
        <x:v>無線LAN切断/復旧できる環境</x:v>
      </x:c>
      <x:c r="H91" s="52" t="str">
        <x:v>送信前後でネットワークを切断・復旧</x:v>
      </x:c>
      <x:c r="I91" s="52" t="str">
        <x:v>重複や消失がないことを確認し、再送可否が明確である</x:v>
      </x:c>
      <x:c r="J91" s="54" t="str">
        <x:v>未実施</x:v>
      </x:c>
      <x:c r="K91" s="56" t="str"/>
      <x:c r="L91" s="54" t="str"/>
      <x:c r="M91" s="54" t="str"/>
      <x:c r="N91" s="54" t="str"/>
      <x:c r="O91" s="54" t="str">
        <x:v>高</x:v>
      </x:c>
      <x:c r="P91" s="52" t="str"/>
    </x:row>
    <x:row r="92" ht="54" customHeight="1">
      <x:c r="A92" s="54" t="n">
        <x:v>91</x:v>
      </x:c>
      <x:c r="B92" s="54" t="str">
        <x:v>ST-011</x:v>
      </x:c>
      <x:c r="C92" s="54" t="str">
        <x:v>総合テスト</x:v>
      </x:c>
      <x:c r="D92" s="52" t="str">
        <x:v>利用性</x:v>
      </x:c>
      <x:c r="E92" s="52" t="str">
        <x:v>タブレット操作</x:v>
      </x:c>
      <x:c r="F92" s="52" t="str">
        <x:v>タッチ操作だけで一連の処理が完了すること</x:v>
      </x:c>
      <x:c r="G92" s="52" t="str">
        <x:v>実タブレット</x:v>
      </x:c>
      <x:c r="H92" s="52" t="str">
        <x:v>ログイン、読取、確認、送信、一覧閲覧を実施</x:v>
      </x:c>
      <x:c r="I92" s="52" t="str">
        <x:v>キーボードや開発者操作なしで業務完了できる</x:v>
      </x:c>
      <x:c r="J92" s="54" t="str">
        <x:v>未実施</x:v>
      </x:c>
      <x:c r="K92" s="56" t="str"/>
      <x:c r="L92" s="54" t="str"/>
      <x:c r="M92" s="54" t="str"/>
      <x:c r="N92" s="54" t="str"/>
      <x:c r="O92" s="54" t="str">
        <x:v>中</x:v>
      </x:c>
      <x:c r="P92" s="52" t="str"/>
    </x:row>
    <x:row r="93" ht="54" customHeight="1">
      <x:c r="A93" s="54" t="n">
        <x:v>92</x:v>
      </x:c>
      <x:c r="B93" s="54" t="str">
        <x:v>ST-012</x:v>
      </x:c>
      <x:c r="C93" s="54" t="str">
        <x:v>総合テスト</x:v>
      </x:c>
      <x:c r="D93" s="52" t="str">
        <x:v>利用性</x:v>
      </x:c>
      <x:c r="E93" s="52" t="str">
        <x:v>画面視認性</x:v>
      </x:c>
      <x:c r="F93" s="52" t="str">
        <x:v>横向きタブレットで文字・ボタンが読みやすいこと</x:v>
      </x:c>
      <x:c r="G93" s="52" t="str">
        <x:v>本番想定タブレット</x:v>
      </x:c>
      <x:c r="H93" s="52" t="str">
        <x:v>各画面を表示</x:v>
      </x:c>
      <x:c r="I93" s="52" t="str">
        <x:v>主要項目・エラー・ボタンが判読できる</x:v>
      </x:c>
      <x:c r="J93" s="54" t="str">
        <x:v>未実施</x:v>
      </x:c>
      <x:c r="K93" s="56" t="str"/>
      <x:c r="L93" s="54" t="str"/>
      <x:c r="M93" s="54" t="str"/>
      <x:c r="N93" s="54" t="str"/>
      <x:c r="O93" s="54" t="str">
        <x:v>中</x:v>
      </x:c>
      <x:c r="P93" s="52" t="str"/>
    </x:row>
    <x:row r="94" ht="54" customHeight="1">
      <x:c r="A94" s="54" t="n">
        <x:v>93</x:v>
      </x:c>
      <x:c r="B94" s="54" t="str">
        <x:v>ST-013</x:v>
      </x:c>
      <x:c r="C94" s="54" t="str">
        <x:v>総合テスト</x:v>
      </x:c>
      <x:c r="D94" s="52" t="str">
        <x:v>利用性</x:v>
      </x:c>
      <x:c r="E94" s="52" t="str">
        <x:v>エラーメッセージ</x:v>
      </x:c>
      <x:c r="F94" s="52" t="str">
        <x:v>利用者/職員が次の行動を判断できるエラー文であること</x:v>
      </x:c>
      <x:c r="G94" s="52" t="str">
        <x:v>正常/異常ケースを準備</x:v>
      </x:c>
      <x:c r="H94" s="52" t="str">
        <x:v>PIN誤り、通信断、未対応カード等を発生</x:v>
      </x:c>
      <x:c r="I94" s="52" t="str">
        <x:v>原因と次操作が分かる文言で表示される</x:v>
      </x:c>
      <x:c r="J94" s="54" t="str">
        <x:v>未実施</x:v>
      </x:c>
      <x:c r="K94" s="56" t="str"/>
      <x:c r="L94" s="54" t="str"/>
      <x:c r="M94" s="54" t="str"/>
      <x:c r="N94" s="54" t="str"/>
      <x:c r="O94" s="54" t="str">
        <x:v>中</x:v>
      </x:c>
      <x:c r="P94" s="52" t="str"/>
    </x:row>
    <x:row r="95" ht="54" customHeight="1">
      <x:c r="A95" s="54" t="n">
        <x:v>94</x:v>
      </x:c>
      <x:c r="B95" s="54" t="str">
        <x:v>ST-014</x:v>
      </x:c>
      <x:c r="C95" s="54" t="str">
        <x:v>総合テスト</x:v>
      </x:c>
      <x:c r="D95" s="52" t="str">
        <x:v>性能</x:v>
      </x:c>
      <x:c r="E95" s="52" t="str">
        <x:v>登録レスポンス</x:v>
      </x:c>
      <x:c r="F95" s="52" t="str">
        <x:v>通常利用時の送信レスポンスが許容範囲内であること</x:v>
      </x:c>
      <x:c r="G95" s="52" t="str">
        <x:v>本番同等DB/ネットワーク</x:v>
      </x:c>
      <x:c r="H95" s="52" t="str">
        <x:v>カード読取後に送信し、応答時間を計測</x:v>
      </x:c>
      <x:c r="I95" s="52" t="str">
        <x:v>業務上許容できる時間内に完了する</x:v>
      </x:c>
      <x:c r="J95" s="54" t="str">
        <x:v>未実施</x:v>
      </x:c>
      <x:c r="K95" s="56" t="str"/>
      <x:c r="L95" s="54" t="str"/>
      <x:c r="M95" s="54" t="str"/>
      <x:c r="N95" s="54" t="str"/>
      <x:c r="O95" s="54" t="str">
        <x:v>中</x:v>
      </x:c>
      <x:c r="P95" s="52" t="str">
        <x:v>目標値未定なら測定値を記録</x:v>
      </x:c>
    </x:row>
    <x:row r="96" ht="54" customHeight="1">
      <x:c r="A96" s="54" t="n">
        <x:v>95</x:v>
      </x:c>
      <x:c r="B96" s="54" t="str">
        <x:v>ST-015</x:v>
      </x:c>
      <x:c r="C96" s="54" t="str">
        <x:v>総合テスト</x:v>
      </x:c>
      <x:c r="D96" s="52" t="str">
        <x:v>性能</x:v>
      </x:c>
      <x:c r="E96" s="52" t="str">
        <x:v>一覧レスポンス</x:v>
      </x:c>
      <x:c r="F96" s="52" t="str">
        <x:v>200件規模で一覧検索が許容範囲内であること</x:v>
      </x:c>
      <x:c r="G96" s="52" t="str">
        <x:v>200件以上のデータを投入</x:v>
      </x:c>
      <x:c r="H96" s="52" t="str">
        <x:v>一覧表示/検索を実施し時間を計測</x:v>
      </x:c>
      <x:c r="I96" s="52" t="str">
        <x:v>業務上許容できる時間内に表示される</x:v>
      </x:c>
      <x:c r="J96" s="54" t="str">
        <x:v>未実施</x:v>
      </x:c>
      <x:c r="K96" s="56" t="str"/>
      <x:c r="L96" s="54" t="str"/>
      <x:c r="M96" s="54" t="str"/>
      <x:c r="N96" s="54" t="str"/>
      <x:c r="O96" s="54" t="str">
        <x:v>中</x:v>
      </x:c>
      <x:c r="P96" s="52" t="str"/>
    </x:row>
    <x:row r="97" ht="54" customHeight="1">
      <x:c r="A97" s="54" t="n">
        <x:v>96</x:v>
      </x:c>
      <x:c r="B97" s="54" t="str">
        <x:v>ST-016</x:v>
      </x:c>
      <x:c r="C97" s="54" t="str">
        <x:v>総合テスト</x:v>
      </x:c>
      <x:c r="D97" s="52" t="str">
        <x:v>性能</x:v>
      </x:c>
      <x:c r="E97" s="52" t="str">
        <x:v>連続受付</x:v>
      </x:c>
      <x:c r="F97" s="52" t="str">
        <x:v>連続して複数人を受付できること</x:v>
      </x:c>
      <x:c r="G97" s="52" t="str">
        <x:v>10件程度の連続受付データを用意</x:v>
      </x:c>
      <x:c r="H97" s="52" t="str">
        <x:v>読取→送信を連続実施</x:v>
      </x:c>
      <x:c r="I97" s="52" t="str">
        <x:v>アプリ再起動なしで連続受付できる</x:v>
      </x:c>
      <x:c r="J97" s="54" t="str">
        <x:v>未実施</x:v>
      </x:c>
      <x:c r="K97" s="56" t="str"/>
      <x:c r="L97" s="54" t="str"/>
      <x:c r="M97" s="54" t="str"/>
      <x:c r="N97" s="54" t="str"/>
      <x:c r="O97" s="54" t="str">
        <x:v>高</x:v>
      </x:c>
      <x:c r="P97" s="52" t="str"/>
    </x:row>
    <x:row r="98" ht="54" customHeight="1">
      <x:c r="A98" s="54" t="n">
        <x:v>97</x:v>
      </x:c>
      <x:c r="B98" s="54" t="str">
        <x:v>ST-017</x:v>
      </x:c>
      <x:c r="C98" s="54" t="str">
        <x:v>総合テスト</x:v>
      </x:c>
      <x:c r="D98" s="52" t="str">
        <x:v>互換性</x:v>
      </x:c>
      <x:c r="E98" s="52" t="str">
        <x:v>Android端末</x:v>
      </x:c>
      <x:c r="F98" s="52" t="str">
        <x:v>対象Androidタブレットで動作すること</x:v>
      </x:c>
      <x:c r="G98" s="52" t="str">
        <x:v>対象機種/OSバージョンを用意</x:v>
      </x:c>
      <x:c r="H98" s="52" t="str">
        <x:v>全主要シナリオを実施</x:v>
      </x:c>
      <x:c r="I98" s="52" t="str">
        <x:v>対象端末で表示・NFC読取・送信が正常動作する</x:v>
      </x:c>
      <x:c r="J98" s="54" t="str">
        <x:v>未実施</x:v>
      </x:c>
      <x:c r="K98" s="56" t="str"/>
      <x:c r="L98" s="54" t="str"/>
      <x:c r="M98" s="54" t="str"/>
      <x:c r="N98" s="54" t="str"/>
      <x:c r="O98" s="54" t="str">
        <x:v>高</x:v>
      </x:c>
      <x:c r="P98" s="52" t="str"/>
    </x:row>
    <x:row r="99" ht="54" customHeight="1">
      <x:c r="A99" s="54" t="n">
        <x:v>98</x:v>
      </x:c>
      <x:c r="B99" s="54" t="str">
        <x:v>ST-018</x:v>
      </x:c>
      <x:c r="C99" s="54" t="str">
        <x:v>総合テスト</x:v>
      </x:c>
      <x:c r="D99" s="52" t="str">
        <x:v>互換性</x:v>
      </x:c>
      <x:c r="E99" s="52" t="str">
        <x:v>PCブラウザ</x:v>
      </x:c>
      <x:c r="F99" s="52" t="str">
        <x:v>PCブラウザで記録一覧確認ができること</x:v>
      </x:c>
      <x:c r="G99" s="52" t="str">
        <x:v>職員PC/管理PCを用意</x:v>
      </x:c>
      <x:c r="H99" s="52" t="str">
        <x:v>ブラウザでログインし記録一覧を開く</x:v>
      </x:c>
      <x:c r="I99" s="52" t="str">
        <x:v>一覧検索/詳細表示が可能である</x:v>
      </x:c>
      <x:c r="J99" s="54" t="str">
        <x:v>未実施</x:v>
      </x:c>
      <x:c r="K99" s="56" t="str"/>
      <x:c r="L99" s="54" t="str"/>
      <x:c r="M99" s="54" t="str"/>
      <x:c r="N99" s="54" t="str"/>
      <x:c r="O99" s="54" t="str">
        <x:v>低</x:v>
      </x:c>
      <x:c r="P99" s="52" t="str"/>
    </x:row>
    <x:row r="100" ht="54" customHeight="1">
      <x:c r="A100" s="54" t="n">
        <x:v>99</x:v>
      </x:c>
      <x:c r="B100" s="54" t="str">
        <x:v>ST-019</x:v>
      </x:c>
      <x:c r="C100" s="54" t="str">
        <x:v>総合テスト</x:v>
      </x:c>
      <x:c r="D100" s="52" t="str">
        <x:v>データ整合性</x:v>
      </x:c>
      <x:c r="E100" s="52" t="str">
        <x:v>保存項目</x:v>
      </x:c>
      <x:c r="F100" s="52" t="str">
        <x:v>DB保存項目が仕様と一致すること</x:v>
      </x:c>
      <x:c r="G100" s="52" t="str">
        <x:v>登録後DB確認可能</x:v>
      </x:c>
      <x:c r="H100" s="52" t="str">
        <x:v>複数カードを登録しDB列・値を確認</x:v>
      </x:c>
      <x:c r="I100" s="52" t="str">
        <x:v>保存対象項目のみ保持され、番号列が存在しない</x:v>
      </x:c>
      <x:c r="J100" s="54" t="str">
        <x:v>未実施</x:v>
      </x:c>
      <x:c r="K100" s="56" t="str"/>
      <x:c r="L100" s="54" t="str"/>
      <x:c r="M100" s="54" t="str"/>
      <x:c r="N100" s="54" t="str"/>
      <x:c r="O100" s="54" t="str">
        <x:v>高</x:v>
      </x:c>
      <x:c r="P100" s="52" t="str"/>
    </x:row>
    <x:row r="101" ht="54" customHeight="1">
      <x:c r="A101" s="54" t="n">
        <x:v>100</x:v>
      </x:c>
      <x:c r="B101" s="54" t="str">
        <x:v>ST-020</x:v>
      </x:c>
      <x:c r="C101" s="54" t="str">
        <x:v>総合テスト</x:v>
      </x:c>
      <x:c r="D101" s="52" t="str">
        <x:v>データ整合性</x:v>
      </x:c>
      <x:c r="E101" s="52" t="str">
        <x:v>文字種</x:v>
      </x:c>
      <x:c r="F101" s="52" t="str">
        <x:v>日本語氏名/住所/フリガナが文字化けしないこと</x:v>
      </x:c>
      <x:c r="G101" s="52" t="str">
        <x:v>日本語文字を含むカードまたはモック</x:v>
      </x:c>
      <x:c r="H101" s="52" t="str">
        <x:v>読取→送信→一覧表示→DB確認</x:v>
      </x:c>
      <x:c r="I101" s="52" t="str">
        <x:v>各画面・DBで文字化けしない</x:v>
      </x:c>
      <x:c r="J101" s="54" t="str">
        <x:v>未実施</x:v>
      </x:c>
      <x:c r="K101" s="56" t="str"/>
      <x:c r="L101" s="54" t="str"/>
      <x:c r="M101" s="54" t="str"/>
      <x:c r="N101" s="54" t="str"/>
      <x:c r="O101" s="54" t="str">
        <x:v>高</x:v>
      </x:c>
      <x:c r="P101" s="52" t="str"/>
    </x:row>
    <x:row r="102" ht="54" customHeight="1">
      <x:c r="A102" s="54" t="n">
        <x:v>101</x:v>
      </x:c>
      <x:c r="B102" s="54" t="str">
        <x:v>ST-021</x:v>
      </x:c>
      <x:c r="C102" s="54" t="str">
        <x:v>総合テスト</x:v>
      </x:c>
      <x:c r="D102" s="52" t="str">
        <x:v>データ整合性</x:v>
      </x:c>
      <x:c r="E102" s="52" t="str">
        <x:v>日付形式</x:v>
      </x:c>
      <x:c r="F102" s="52" t="str">
        <x:v>生年月日/有効期限が仕様通り表示・保存されること</x:v>
      </x:c>
      <x:c r="G102" s="52" t="str">
        <x:v>日付を持つカードを用意</x:v>
      </x:c>
      <x:c r="H102" s="52" t="str">
        <x:v>登録し画面/DBを確認</x:v>
      </x:c>
      <x:c r="I102" s="52" t="str">
        <x:v>YYYY/MM/DD等、仕様通りの形式になる</x:v>
      </x:c>
      <x:c r="J102" s="54" t="str">
        <x:v>未実施</x:v>
      </x:c>
      <x:c r="K102" s="56" t="str"/>
      <x:c r="L102" s="54" t="str"/>
      <x:c r="M102" s="54" t="str"/>
      <x:c r="N102" s="54" t="str"/>
      <x:c r="O102" s="54" t="str">
        <x:v>中</x:v>
      </x:c>
      <x:c r="P102" s="52" t="str"/>
    </x:row>
    <x:row r="103" ht="54" customHeight="1">
      <x:c r="A103" s="54" t="n">
        <x:v>102</x:v>
      </x:c>
      <x:c r="B103" s="54" t="str">
        <x:v>ST-022</x:v>
      </x:c>
      <x:c r="C103" s="54" t="str">
        <x:v>総合テスト</x:v>
      </x:c>
      <x:c r="D103" s="52" t="str">
        <x:v>障害時運用</x:v>
      </x:c>
      <x:c r="E103" s="52" t="str">
        <x:v>DB停止復旧</x:v>
      </x:c>
      <x:c r="F103" s="52" t="str">
        <x:v>DB停止後に復旧すれば再利用できること</x:v>
      </x:c>
      <x:c r="G103" s="52" t="str">
        <x:v>DB停止/復旧を実施可能</x:v>
      </x:c>
      <x:c r="H103" s="52" t="str">
        <x:v>停止中にエラー確認後、DB復旧して再登録</x:v>
      </x:c>
      <x:c r="I103" s="52" t="str">
        <x:v>復旧後に正常登録できる</x:v>
      </x:c>
      <x:c r="J103" s="54" t="str">
        <x:v>未実施</x:v>
      </x:c>
      <x:c r="K103" s="56" t="str"/>
      <x:c r="L103" s="54" t="str"/>
      <x:c r="M103" s="54" t="str"/>
      <x:c r="N103" s="54" t="str"/>
      <x:c r="O103" s="54" t="str">
        <x:v>高</x:v>
      </x:c>
      <x:c r="P103" s="52" t="str"/>
    </x:row>
    <x:row r="104" ht="54" customHeight="1">
      <x:c r="A104" s="54" t="n">
        <x:v>103</x:v>
      </x:c>
      <x:c r="B104" s="54" t="str">
        <x:v>ST-023</x:v>
      </x:c>
      <x:c r="C104" s="54" t="str">
        <x:v>総合テスト</x:v>
      </x:c>
      <x:c r="D104" s="52" t="str">
        <x:v>障害時運用</x:v>
      </x:c>
      <x:c r="E104" s="52" t="str">
        <x:v>Webサーバー再起動</x:v>
      </x:c>
      <x:c r="F104" s="52" t="str">
        <x:v>Laravelサーバー再起動後に利用再開できること</x:v>
      </x:c>
      <x:c r="G104" s="52" t="str">
        <x:v>サーバー再起動可能</x:v>
      </x:c>
      <x:c r="H104" s="52" t="str">
        <x:v>ログイン中にサーバー再起動し、その後アクセス</x:v>
      </x:c>
      <x:c r="I104" s="52" t="str">
        <x:v>再ログイン等の仕様通りの操作で利用再開できる</x:v>
      </x:c>
      <x:c r="J104" s="54" t="str">
        <x:v>未実施</x:v>
      </x:c>
      <x:c r="K104" s="56" t="str"/>
      <x:c r="L104" s="54" t="str"/>
      <x:c r="M104" s="54" t="str"/>
      <x:c r="N104" s="54" t="str"/>
      <x:c r="O104" s="54" t="str">
        <x:v>中</x:v>
      </x:c>
      <x:c r="P104" s="52" t="str"/>
    </x:row>
    <x:row r="105" ht="54" customHeight="1">
      <x:c r="A105" s="54" t="n">
        <x:v>104</x:v>
      </x:c>
      <x:c r="B105" s="54" t="str">
        <x:v>ST-024</x:v>
      </x:c>
      <x:c r="C105" s="54" t="str">
        <x:v>総合テスト</x:v>
      </x:c>
      <x:c r="D105" s="52" t="str">
        <x:v>障害時運用</x:v>
      </x:c>
      <x:c r="E105" s="52" t="str">
        <x:v>端末再起動</x:v>
      </x:c>
      <x:c r="F105" s="52" t="str">
        <x:v>タブレット再起動後に利用再開できること</x:v>
      </x:c>
      <x:c r="G105" s="52" t="str">
        <x:v>タブレット実機</x:v>
      </x:c>
      <x:c r="H105" s="52" t="str">
        <x:v>端末再起動後にAPK起動</x:v>
      </x:c>
      <x:c r="I105" s="52" t="str">
        <x:v>設定URLに接続し、ログイン/読取ができる</x:v>
      </x:c>
      <x:c r="J105" s="54" t="str">
        <x:v>未実施</x:v>
      </x:c>
      <x:c r="K105" s="56" t="str"/>
      <x:c r="L105" s="54" t="str"/>
      <x:c r="M105" s="54" t="str"/>
      <x:c r="N105" s="54" t="str"/>
      <x:c r="O105" s="54" t="str">
        <x:v>中</x:v>
      </x:c>
      <x:c r="P105" s="52" t="str"/>
    </x:row>
    <x:row r="106" ht="54" customHeight="1">
      <x:c r="A106" s="54" t="n">
        <x:v>105</x:v>
      </x:c>
      <x:c r="B106" s="54" t="str">
        <x:v>ST-025</x:v>
      </x:c>
      <x:c r="C106" s="54" t="str">
        <x:v>総合テスト</x:v>
      </x:c>
      <x:c r="D106" s="52" t="str">
        <x:v>運用</x:v>
      </x:c>
      <x:c r="E106" s="52" t="str">
        <x:v>初期設定変更</x:v>
      </x:c>
      <x:c r="F106" s="52" t="str">
        <x:v>サーバーURL変更時にAPK設定反映できること</x:v>
      </x:c>
      <x:c r="G106" s="52" t="str">
        <x:v>変更後サーバーURLを用意</x:v>
      </x:c>
      <x:c r="H106" s="52" t="str">
        <x:v>nfc_config.jsonを変更してビルド/配布</x:v>
      </x:c>
      <x:c r="I106" s="52" t="str">
        <x:v>新URLへ接続できる</x:v>
      </x:c>
      <x:c r="J106" s="54" t="str">
        <x:v>未実施</x:v>
      </x:c>
      <x:c r="K106" s="56" t="str"/>
      <x:c r="L106" s="54" t="str"/>
      <x:c r="M106" s="54" t="str"/>
      <x:c r="N106" s="54" t="str"/>
      <x:c r="O106" s="54" t="str">
        <x:v>中</x:v>
      </x:c>
      <x:c r="P106" s="52" t="str"/>
    </x:row>
    <x:row r="107" ht="54" customHeight="1">
      <x:c r="A107" s="54" t="n">
        <x:v>106</x:v>
      </x:c>
      <x:c r="B107" s="54" t="str">
        <x:v>ST-026</x:v>
      </x:c>
      <x:c r="C107" s="54" t="str">
        <x:v>総合テスト</x:v>
      </x:c>
      <x:c r="D107" s="52" t="str">
        <x:v>運用</x:v>
      </x:c>
      <x:c r="E107" s="52" t="str">
        <x:v>利用者教育</x:v>
      </x:c>
      <x:c r="F107" s="52" t="str">
        <x:v>職員向け手順書に従って操作できること</x:v>
      </x:c>
      <x:c r="G107" s="52" t="str">
        <x:v>簡易手順書を用意</x:v>
      </x:c>
      <x:c r="H107" s="52" t="str">
        <x:v>初見の担当者が手順に沿って操作</x:v>
      </x:c>
      <x:c r="I107" s="52" t="str">
        <x:v>大きな迷いなく受付完了できる。詰まった点を記録する</x:v>
      </x:c>
      <x:c r="J107" s="54" t="str">
        <x:v>未実施</x:v>
      </x:c>
      <x:c r="K107" s="56" t="str"/>
      <x:c r="L107" s="54" t="str"/>
      <x:c r="M107" s="54" t="str"/>
      <x:c r="N107" s="54" t="str"/>
      <x:c r="O107" s="54" t="str">
        <x:v>中</x:v>
      </x:c>
      <x:c r="P107" s="52" t="str"/>
    </x:row>
    <x:row r="108" ht="54" customHeight="1">
      <x:c r="A108" s="54" t="n">
        <x:v>107</x:v>
      </x:c>
      <x:c r="B108" s="54" t="str">
        <x:v>ST-027</x:v>
      </x:c>
      <x:c r="C108" s="54" t="str">
        <x:v>総合テスト</x:v>
      </x:c>
      <x:c r="D108" s="52" t="str">
        <x:v>受入</x:v>
      </x:c>
      <x:c r="E108" s="52" t="str">
        <x:v>業務承認</x:v>
      </x:c>
      <x:c r="F108" s="52" t="str">
        <x:v>業務部門が保存項目・画面表示を承認できること</x:v>
      </x:c>
      <x:c r="G108" s="52" t="str">
        <x:v>業務担当者参加</x:v>
      </x:c>
      <x:c r="H108" s="52" t="str">
        <x:v>主要画面・DB保存項目・出力項目を確認</x:v>
      </x:c>
      <x:c r="I108" s="52" t="str">
        <x:v>業務要件に合致し、承認または修正事項が記録される</x:v>
      </x:c>
      <x:c r="J108" s="54" t="str">
        <x:v>未実施</x:v>
      </x:c>
      <x:c r="K108" s="56" t="str"/>
      <x:c r="L108" s="54" t="str"/>
      <x:c r="M108" s="54" t="str"/>
      <x:c r="N108" s="54" t="str"/>
      <x:c r="O108" s="54" t="str">
        <x:v>高</x:v>
      </x:c>
      <x:c r="P108" s="52" t="str"/>
    </x:row>
    <x:row r="109" ht="54" customHeight="1">
      <x:c r="A109" s="54" t="n">
        <x:v>108</x:v>
      </x:c>
      <x:c r="B109" s="54" t="str">
        <x:v>ST-028</x:v>
      </x:c>
      <x:c r="C109" s="54" t="str">
        <x:v>総合テスト</x:v>
      </x:c>
      <x:c r="D109" s="52" t="str">
        <x:v>受入</x:v>
      </x:c>
      <x:c r="E109" s="52" t="str">
        <x:v>システム部門承認</x:v>
      </x:c>
      <x:c r="F109" s="52" t="str">
        <x:v>システム部門が構成・運用・障害対応を承認できること</x:v>
      </x:c>
      <x:c r="G109" s="52" t="str">
        <x:v>設計書/手順書/試験結果を準備</x:v>
      </x:c>
      <x:c r="H109" s="52" t="str">
        <x:v>構成、バックアップ、ログ、障害時対応を確認</x:v>
      </x:c>
      <x:c r="I109" s="52" t="str">
        <x:v>本番移行可否の判断材料が揃う</x:v>
      </x:c>
      <x:c r="J109" s="54" t="str">
        <x:v>未実施</x:v>
      </x:c>
      <x:c r="K109" s="56" t="str"/>
      <x:c r="L109" s="54" t="str"/>
      <x:c r="M109" s="54" t="str"/>
      <x:c r="N109" s="54" t="str"/>
      <x:c r="O109" s="54" t="str">
        <x:v>高</x:v>
      </x:c>
      <x:c r="P109" s="52" t="str"/>
    </x:row>
    <x:row r="110" ht="54" customHeight="1">
      <x:c r="A110" s="54" t="n">
        <x:v>109</x:v>
      </x:c>
      <x:c r="B110" s="54" t="str">
        <x:v>ST-029</x:v>
      </x:c>
      <x:c r="C110" s="54" t="str">
        <x:v>総合テスト</x:v>
      </x:c>
      <x:c r="D110" s="52" t="str">
        <x:v>受入</x:v>
      </x:c>
      <x:c r="E110" s="52" t="str">
        <x:v>本番移行判定</x:v>
      </x:c>
      <x:c r="F110" s="52" t="str">
        <x:v>未解決不具合の本番影響を判定できること</x:v>
      </x:c>
      <x:c r="G110" s="52" t="str">
        <x:v>全試験結果を集計</x:v>
      </x:c>
      <x:c r="H110" s="52" t="str">
        <x:v>NG/保留/課題をレビュー</x:v>
      </x:c>
      <x:c r="I110" s="52" t="str">
        <x:v>本番移行可否、条件付き移行、延期の判断ができる</x:v>
      </x:c>
      <x:c r="J110" s="54" t="str">
        <x:v>未実施</x:v>
      </x:c>
      <x:c r="K110" s="56" t="str"/>
      <x:c r="L110" s="54" t="str"/>
      <x:c r="M110" s="54" t="str"/>
      <x:c r="N110" s="54" t="str"/>
      <x:c r="O110" s="54" t="str">
        <x:v>高</x:v>
      </x:c>
      <x:c r="P110" s="52" t="str"/>
    </x:row>
    <x:row r="111" ht="54" customHeight="1">
      <x:c r="A111" s="54" t="n">
        <x:v>110</x:v>
      </x:c>
      <x:c r="B111" s="54" t="str">
        <x:v>SO-001</x:v>
      </x:c>
      <x:c r="C111" s="54" t="str">
        <x:v>セキュリティ・運用テスト</x:v>
      </x:c>
      <x:c r="D111" s="52" t="str">
        <x:v>認証</x:v>
      </x:c>
      <x:c r="E111" s="52" t="str">
        <x:v>ログイン保護</x:v>
      </x:c>
      <x:c r="F111" s="52" t="str">
        <x:v>未ログインで保護画面/APIにアクセスできないこと</x:v>
      </x:c>
      <x:c r="G111" s="52" t="str">
        <x:v>ブラウザまたはAPIクライアントを用意</x:v>
      </x:c>
      <x:c r="H111" s="52" t="str">
        <x:v>/、/records、/api/me、/api/recordsへ未ログインでアクセス</x:v>
      </x:c>
      <x:c r="I111" s="52" t="str">
        <x:v>ログイン画面へ誘導または401/403相当で拒否される</x:v>
      </x:c>
      <x:c r="J111" s="54" t="str">
        <x:v>未実施</x:v>
      </x:c>
      <x:c r="K111" s="56" t="str"/>
      <x:c r="L111" s="54" t="str"/>
      <x:c r="M111" s="54" t="str"/>
      <x:c r="N111" s="54" t="str"/>
      <x:c r="O111" s="54" t="str">
        <x:v>高</x:v>
      </x:c>
      <x:c r="P111" s="52" t="str"/>
    </x:row>
    <x:row r="112" ht="54" customHeight="1">
      <x:c r="A112" s="54" t="n">
        <x:v>111</x:v>
      </x:c>
      <x:c r="B112" s="54" t="str">
        <x:v>SO-002</x:v>
      </x:c>
      <x:c r="C112" s="54" t="str">
        <x:v>セキュリティ・運用テスト</x:v>
      </x:c>
      <x:c r="D112" s="52" t="str">
        <x:v>認証</x:v>
      </x:c>
      <x:c r="E112" s="52" t="str">
        <x:v>パスワードエラー</x:v>
      </x:c>
      <x:c r="F112" s="52" t="str">
        <x:v>ログイン失敗時にアカウント存在を推測しにくいこと</x:v>
      </x:c>
      <x:c r="G112" s="52" t="str">
        <x:v>存在/不存在の社員番号を用意</x:v>
      </x:c>
      <x:c r="H112" s="52" t="str">
        <x:v>それぞれ誤ログインする</x:v>
      </x:c>
      <x:c r="I112" s="52" t="str">
        <x:v>メッセージが過度に詳細でなく、社員番号の存在有無を漏らさない</x:v>
      </x:c>
      <x:c r="J112" s="54" t="str">
        <x:v>未実施</x:v>
      </x:c>
      <x:c r="K112" s="56" t="str"/>
      <x:c r="L112" s="54" t="str"/>
      <x:c r="M112" s="54" t="str"/>
      <x:c r="N112" s="54" t="str"/>
      <x:c r="O112" s="54" t="str">
        <x:v>中</x:v>
      </x:c>
      <x:c r="P112" s="52" t="str"/>
    </x:row>
    <x:row r="113" ht="54" customHeight="1">
      <x:c r="A113" s="54" t="n">
        <x:v>112</x:v>
      </x:c>
      <x:c r="B113" s="54" t="str">
        <x:v>SO-003</x:v>
      </x:c>
      <x:c r="C113" s="54" t="str">
        <x:v>セキュリティ・運用テスト</x:v>
      </x:c>
      <x:c r="D113" s="52" t="str">
        <x:v>認証</x:v>
      </x:c>
      <x:c r="E113" s="52" t="str">
        <x:v>初期パスワード</x:v>
      </x:c>
      <x:c r="F113" s="52" t="str">
        <x:v>既知の初期パスワードが本番に残っていないこと</x:v>
      </x:c>
      <x:c r="G113" s="52" t="str">
        <x:v>本番相当DB</x:v>
      </x:c>
      <x:c r="H113" s="52" t="str">
        <x:v>ADMIN001/EMP001/changeme等でログインを試行</x:v>
      </x:c>
      <x:c r="I113" s="52" t="str">
        <x:v>既知パスワードではログインできない</x:v>
      </x:c>
      <x:c r="J113" s="54" t="str">
        <x:v>未実施</x:v>
      </x:c>
      <x:c r="K113" s="56" t="str"/>
      <x:c r="L113" s="54" t="str"/>
      <x:c r="M113" s="54" t="str"/>
      <x:c r="N113" s="54" t="str"/>
      <x:c r="O113" s="54" t="str">
        <x:v>高</x:v>
      </x:c>
      <x:c r="P113" s="52" t="str"/>
    </x:row>
    <x:row r="114" ht="54" customHeight="1">
      <x:c r="A114" s="54" t="n">
        <x:v>113</x:v>
      </x:c>
      <x:c r="B114" s="54" t="str">
        <x:v>SO-004</x:v>
      </x:c>
      <x:c r="C114" s="54" t="str">
        <x:v>セキュリティ・運用テスト</x:v>
      </x:c>
      <x:c r="D114" s="52" t="str">
        <x:v>認証</x:v>
      </x:c>
      <x:c r="E114" s="52" t="str">
        <x:v>無効ユーザー</x:v>
      </x:c>
      <x:c r="F114" s="52" t="str">
        <x:v>退職/利用停止ユーザーがログインできないこと</x:v>
      </x:c>
      <x:c r="G114" s="52" t="str">
        <x:v>is_active=false ユーザー</x:v>
      </x:c>
      <x:c r="H114" s="52" t="str">
        <x:v>ログインを試行</x:v>
      </x:c>
      <x:c r="I114" s="52" t="str">
        <x:v>ログインできない</x:v>
      </x:c>
      <x:c r="J114" s="54" t="str">
        <x:v>未実施</x:v>
      </x:c>
      <x:c r="K114" s="56" t="str"/>
      <x:c r="L114" s="54" t="str"/>
      <x:c r="M114" s="54" t="str"/>
      <x:c r="N114" s="54" t="str"/>
      <x:c r="O114" s="54" t="str">
        <x:v>高</x:v>
      </x:c>
      <x:c r="P114" s="52" t="str"/>
    </x:row>
    <x:row r="115" ht="54" customHeight="1">
      <x:c r="A115" s="54" t="n">
        <x:v>114</x:v>
      </x:c>
      <x:c r="B115" s="54" t="str">
        <x:v>SO-005</x:v>
      </x:c>
      <x:c r="C115" s="54" t="str">
        <x:v>セキュリティ・運用テスト</x:v>
      </x:c>
      <x:c r="D115" s="52" t="str">
        <x:v>認可</x:v>
      </x:c>
      <x:c r="E115" s="52" t="str">
        <x:v>設定更新</x:v>
      </x:c>
      <x:c r="F115" s="52" t="str">
        <x:v>一般ユーザーが /api/config を更新できないこと</x:v>
      </x:c>
      <x:c r="G115" s="52" t="str">
        <x:v>一般ユーザーでログイン</x:v>
      </x:c>
      <x:c r="H115" s="52" t="str">
        <x:v>/api/config にPUTする</x:v>
      </x:c>
      <x:c r="I115" s="52" t="str">
        <x:v>403等で拒否され、設定が変わらない</x:v>
      </x:c>
      <x:c r="J115" s="54" t="str">
        <x:v>未実施</x:v>
      </x:c>
      <x:c r="K115" s="56" t="str"/>
      <x:c r="L115" s="54" t="str"/>
      <x:c r="M115" s="54" t="str"/>
      <x:c r="N115" s="54" t="str"/>
      <x:c r="O115" s="54" t="str">
        <x:v>高</x:v>
      </x:c>
      <x:c r="P115" s="52" t="str">
        <x:v>現行実装でNG想定。改善後に確認</x:v>
      </x:c>
    </x:row>
    <x:row r="116" ht="54" customHeight="1">
      <x:c r="A116" s="54" t="n">
        <x:v>115</x:v>
      </x:c>
      <x:c r="B116" s="54" t="str">
        <x:v>SO-006</x:v>
      </x:c>
      <x:c r="C116" s="54" t="str">
        <x:v>セキュリティ・運用テスト</x:v>
      </x:c>
      <x:c r="D116" s="52" t="str">
        <x:v>認可</x:v>
      </x:c>
      <x:c r="E116" s="52" t="str">
        <x:v>記録参照</x:v>
      </x:c>
      <x:c r="F116" s="52" t="str">
        <x:v>他ユーザーの記録を参照できないこと</x:v>
      </x:c>
      <x:c r="G116" s="52" t="str">
        <x:v>ユーザーA/Bのデータを用意</x:v>
      </x:c>
      <x:c r="H116" s="52" t="str">
        <x:v>ユーザーAで一覧検索・URL操作を試行</x:v>
      </x:c>
      <x:c r="I116" s="52" t="str">
        <x:v>ユーザーBの記録が表示/取得できない</x:v>
      </x:c>
      <x:c r="J116" s="54" t="str">
        <x:v>未実施</x:v>
      </x:c>
      <x:c r="K116" s="56" t="str"/>
      <x:c r="L116" s="54" t="str"/>
      <x:c r="M116" s="54" t="str"/>
      <x:c r="N116" s="54" t="str"/>
      <x:c r="O116" s="54" t="str">
        <x:v>高</x:v>
      </x:c>
      <x:c r="P116" s="52" t="str"/>
    </x:row>
    <x:row r="117" ht="54" customHeight="1">
      <x:c r="A117" s="54" t="n">
        <x:v>116</x:v>
      </x:c>
      <x:c r="B117" s="54" t="str">
        <x:v>SO-007</x:v>
      </x:c>
      <x:c r="C117" s="54" t="str">
        <x:v>セキュリティ・運用テスト</x:v>
      </x:c>
      <x:c r="D117" s="52" t="str">
        <x:v>CSRF</x:v>
      </x:c>
      <x:c r="E117" s="52" t="str">
        <x:v>POST保護</x:v>
      </x:c>
      <x:c r="F117" s="52" t="str">
        <x:v>ログイン状態でもCSRFなしの登録ができないこと</x:v>
      </x:c>
      <x:c r="G117" s="52" t="str">
        <x:v>ログイン済み、外部フォーム/APIクライアント</x:v>
      </x:c>
      <x:c r="H117" s="52" t="str">
        <x:v>CSRFトークンなしで /api/submit へPOST</x:v>
      </x:c>
      <x:c r="I117" s="52" t="str">
        <x:v>登録拒否される</x:v>
      </x:c>
      <x:c r="J117" s="54" t="str">
        <x:v>未実施</x:v>
      </x:c>
      <x:c r="K117" s="56" t="str"/>
      <x:c r="L117" s="54" t="str"/>
      <x:c r="M117" s="54" t="str"/>
      <x:c r="N117" s="54" t="str"/>
      <x:c r="O117" s="54" t="str">
        <x:v>高</x:v>
      </x:c>
      <x:c r="P117" s="52" t="str"/>
    </x:row>
    <x:row r="118" ht="54" customHeight="1">
      <x:c r="A118" s="54" t="n">
        <x:v>117</x:v>
      </x:c>
      <x:c r="B118" s="54" t="str">
        <x:v>SO-008</x:v>
      </x:c>
      <x:c r="C118" s="54" t="str">
        <x:v>セキュリティ・運用テスト</x:v>
      </x:c>
      <x:c r="D118" s="52" t="str">
        <x:v>CSRF</x:v>
      </x:c>
      <x:c r="E118" s="52" t="str">
        <x:v>ログアウト保護</x:v>
      </x:c>
      <x:c r="F118" s="52" t="str">
        <x:v>CSRFなしでログアウトさせられないこと</x:v>
      </x:c>
      <x:c r="G118" s="52" t="str">
        <x:v>ログイン済み</x:v>
      </x:c>
      <x:c r="H118" s="52" t="str">
        <x:v>CSRFなしで /logout へPOST</x:v>
      </x:c>
      <x:c r="I118" s="52" t="str">
        <x:v>拒否される、または仕様通り安全に扱われる</x:v>
      </x:c>
      <x:c r="J118" s="54" t="str">
        <x:v>未実施</x:v>
      </x:c>
      <x:c r="K118" s="56" t="str"/>
      <x:c r="L118" s="54" t="str"/>
      <x:c r="M118" s="54" t="str"/>
      <x:c r="N118" s="54" t="str"/>
      <x:c r="O118" s="54" t="str">
        <x:v>中</x:v>
      </x:c>
      <x:c r="P118" s="52" t="str"/>
    </x:row>
    <x:row r="119" ht="54" customHeight="1">
      <x:c r="A119" s="54" t="n">
        <x:v>118</x:v>
      </x:c>
      <x:c r="B119" s="54" t="str">
        <x:v>SO-009</x:v>
      </x:c>
      <x:c r="C119" s="54" t="str">
        <x:v>セキュリティ・運用テスト</x:v>
      </x:c>
      <x:c r="D119" s="52" t="str">
        <x:v>セッション</x:v>
      </x:c>
      <x:c r="E119" s="52" t="str">
        <x:v>Cookie属性</x:v>
      </x:c>
      <x:c r="F119" s="52" t="str">
        <x:v>セッションCookieのHttpOnly/SameSiteが設定されていること</x:v>
      </x:c>
      <x:c r="G119" s="52" t="str">
        <x:v>ログイン済み</x:v>
      </x:c>
      <x:c r="H119" s="52" t="str">
        <x:v>ブラウザ/プロキシでSet-Cookieを確認</x:v>
      </x:c>
      <x:c r="I119" s="52" t="str">
        <x:v>HttpOnly=true、SameSiteが設定されている</x:v>
      </x:c>
      <x:c r="J119" s="54" t="str">
        <x:v>未実施</x:v>
      </x:c>
      <x:c r="K119" s="56" t="str"/>
      <x:c r="L119" s="54" t="str"/>
      <x:c r="M119" s="54" t="str"/>
      <x:c r="N119" s="54" t="str"/>
      <x:c r="O119" s="54" t="str">
        <x:v>高</x:v>
      </x:c>
      <x:c r="P119" s="52" t="str"/>
    </x:row>
    <x:row r="120" ht="54" customHeight="1">
      <x:c r="A120" s="54" t="n">
        <x:v>119</x:v>
      </x:c>
      <x:c r="B120" s="54" t="str">
        <x:v>SO-010</x:v>
      </x:c>
      <x:c r="C120" s="54" t="str">
        <x:v>セキュリティ・運用テスト</x:v>
      </x:c>
      <x:c r="D120" s="52" t="str">
        <x:v>セッション</x:v>
      </x:c>
      <x:c r="E120" s="52" t="str">
        <x:v>有効期限</x:v>
      </x:c>
      <x:c r="F120" s="52" t="str">
        <x:v>一定時間放置後に再認証が必要になること</x:v>
      </x:c>
      <x:c r="G120" s="52" t="str">
        <x:v>セッション有効期限を確認</x:v>
      </x:c>
      <x:c r="H120" s="52" t="str">
        <x:v>ログイン後、期限超過まで放置して操作</x:v>
      </x:c>
      <x:c r="I120" s="52" t="str">
        <x:v>再ログイン要求または仕様通りの期限切れ処理になる</x:v>
      </x:c>
      <x:c r="J120" s="54" t="str">
        <x:v>未実施</x:v>
      </x:c>
      <x:c r="K120" s="56" t="str"/>
      <x:c r="L120" s="54" t="str"/>
      <x:c r="M120" s="54" t="str"/>
      <x:c r="N120" s="54" t="str"/>
      <x:c r="O120" s="54" t="str">
        <x:v>中</x:v>
      </x:c>
      <x:c r="P120" s="52" t="str"/>
    </x:row>
    <x:row r="121" ht="54" customHeight="1">
      <x:c r="A121" s="54" t="n">
        <x:v>120</x:v>
      </x:c>
      <x:c r="B121" s="54" t="str">
        <x:v>SO-011</x:v>
      </x:c>
      <x:c r="C121" s="54" t="str">
        <x:v>セキュリティ・運用テスト</x:v>
      </x:c>
      <x:c r="D121" s="52" t="str">
        <x:v>通信</x:v>
      </x:c>
      <x:c r="E121" s="52" t="str">
        <x:v>HTTPS/HTTP方針</x:v>
      </x:c>
      <x:c r="F121" s="52" t="str">
        <x:v>本番通信方式が設計通りであること</x:v>
      </x:c>
      <x:c r="G121" s="52" t="str">
        <x:v>本番相当ネットワーク</x:v>
      </x:c>
      <x:c r="H121" s="52" t="str">
        <x:v>タブレットからサーバーへ接続しURL/通信を確認</x:v>
      </x:c>
      <x:c r="I121" s="52" t="str">
        <x:v>HTTPS必須またはイントラHTTP許容等、承認済み方針と一致する</x:v>
      </x:c>
      <x:c r="J121" s="54" t="str">
        <x:v>未実施</x:v>
      </x:c>
      <x:c r="K121" s="56" t="str"/>
      <x:c r="L121" s="54" t="str"/>
      <x:c r="M121" s="54" t="str"/>
      <x:c r="N121" s="54" t="str"/>
      <x:c r="O121" s="54" t="str">
        <x:v>高</x:v>
      </x:c>
      <x:c r="P121" s="52" t="str"/>
    </x:row>
    <x:row r="122" ht="54" customHeight="1">
      <x:c r="A122" s="54" t="n">
        <x:v>121</x:v>
      </x:c>
      <x:c r="B122" s="54" t="str">
        <x:v>SO-012</x:v>
      </x:c>
      <x:c r="C122" s="54" t="str">
        <x:v>セキュリティ・運用テスト</x:v>
      </x:c>
      <x:c r="D122" s="52" t="str">
        <x:v>通信</x:v>
      </x:c>
      <x:c r="E122" s="52" t="str">
        <x:v>混在コンテンツ</x:v>
      </x:c>
      <x:c r="F122" s="52" t="str">
        <x:v>外部/混在コンテンツを読み込まないこと</x:v>
      </x:c>
      <x:c r="G122" s="52" t="str">
        <x:v>プロキシまたは開発者ツールで通信確認</x:v>
      </x:c>
      <x:c r="H122" s="52" t="str">
        <x:v>スキャン画面・一覧画面を表示</x:v>
      </x:c>
      <x:c r="I122" s="52" t="str">
        <x:v>許可されていない外部URLや混在コンテンツが読み込まれない</x:v>
      </x:c>
      <x:c r="J122" s="54" t="str">
        <x:v>未実施</x:v>
      </x:c>
      <x:c r="K122" s="56" t="str"/>
      <x:c r="L122" s="54" t="str"/>
      <x:c r="M122" s="54" t="str"/>
      <x:c r="N122" s="54" t="str"/>
      <x:c r="O122" s="54" t="str">
        <x:v>高</x:v>
      </x:c>
      <x:c r="P122" s="52" t="str"/>
    </x:row>
    <x:row r="123" ht="54" customHeight="1">
      <x:c r="A123" s="54" t="n">
        <x:v>122</x:v>
      </x:c>
      <x:c r="B123" s="54" t="str">
        <x:v>SO-013</x:v>
      </x:c>
      <x:c r="C123" s="54" t="str">
        <x:v>セキュリティ・運用テスト</x:v>
      </x:c>
      <x:c r="D123" s="52" t="str">
        <x:v>WebView</x:v>
      </x:c>
      <x:c r="E123" s="52" t="str">
        <x:v>URL制限</x:v>
      </x:c>
      <x:c r="F123" s="52" t="str">
        <x:v>WebViewが想定外URLへ遷移しないこと</x:v>
      </x:c>
      <x:c r="G123" s="52" t="str">
        <x:v>サーバーに外部リンク/リダイレクトを用意</x:v>
      </x:c>
      <x:c r="H123" s="52" t="str">
        <x:v>リンク押下またはリダイレクトを発生</x:v>
      </x:c>
      <x:c r="I123" s="52" t="str">
        <x:v>許可ホスト外へ遷移しない、または明示的にブロックされる</x:v>
      </x:c>
      <x:c r="J123" s="54" t="str">
        <x:v>未実施</x:v>
      </x:c>
      <x:c r="K123" s="56" t="str"/>
      <x:c r="L123" s="54" t="str"/>
      <x:c r="M123" s="54" t="str"/>
      <x:c r="N123" s="54" t="str"/>
      <x:c r="O123" s="54" t="str">
        <x:v>高</x:v>
      </x:c>
      <x:c r="P123" s="52" t="str">
        <x:v>現行実装では要改善の可能性</x:v>
      </x:c>
    </x:row>
    <x:row r="124" ht="54" customHeight="1">
      <x:c r="A124" s="54" t="n">
        <x:v>123</x:v>
      </x:c>
      <x:c r="B124" s="54" t="str">
        <x:v>SO-014</x:v>
      </x:c>
      <x:c r="C124" s="54" t="str">
        <x:v>セキュリティ・運用テスト</x:v>
      </x:c>
      <x:c r="D124" s="52" t="str">
        <x:v>WebView</x:v>
      </x:c>
      <x:c r="E124" s="52" t="str">
        <x:v>JavaScript bridge</x:v>
      </x:c>
      <x:c r="F124" s="52" t="str">
        <x:v>信頼できないページからNfcAndroid bridgeを呼べないこと</x:v>
      </x:c>
      <x:c r="G124" s="52" t="str">
        <x:v>想定外URLへ遷移できる検証環境</x:v>
      </x:c>
      <x:c r="H124" s="52" t="str">
        <x:v>外部/改ざんページから window.NfcAndroid を呼ぶ</x:v>
      </x:c>
      <x:c r="I124" s="52" t="str">
        <x:v>呼び出せない、または遷移自体がブロックされる</x:v>
      </x:c>
      <x:c r="J124" s="54" t="str">
        <x:v>未実施</x:v>
      </x:c>
      <x:c r="K124" s="56" t="str"/>
      <x:c r="L124" s="54" t="str"/>
      <x:c r="M124" s="54" t="str"/>
      <x:c r="N124" s="54" t="str"/>
      <x:c r="O124" s="54" t="str">
        <x:v>高</x:v>
      </x:c>
      <x:c r="P124" s="52" t="str">
        <x:v>現行実装では要改善の可能性</x:v>
      </x:c>
    </x:row>
    <x:row r="125" ht="54" customHeight="1">
      <x:c r="A125" s="54" t="n">
        <x:v>124</x:v>
      </x:c>
      <x:c r="B125" s="54" t="str">
        <x:v>SO-015</x:v>
      </x:c>
      <x:c r="C125" s="54" t="str">
        <x:v>セキュリティ・運用テスト</x:v>
      </x:c>
      <x:c r="D125" s="52" t="str">
        <x:v>入力検証</x:v>
      </x:c>
      <x:c r="E125" s="52" t="str">
        <x:v>XSS</x:v>
      </x:c>
      <x:c r="F125" s="52" t="str">
        <x:v>登録データにHTML/Scriptが含まれても画面実行されないこと</x:v>
      </x:c>
      <x:c r="G125" s="52" t="str">
        <x:v>モックまたはDB直接投入</x:v>
      </x:c>
      <x:c r="H125" s="52" t="str">
        <x:v>一覧/詳細/確認画面を表示</x:v>
      </x:c>
      <x:c r="I125" s="52" t="str">
        <x:v>スクリプトが実行されず文字列として表示される</x:v>
      </x:c>
      <x:c r="J125" s="54" t="str">
        <x:v>未実施</x:v>
      </x:c>
      <x:c r="K125" s="56" t="str"/>
      <x:c r="L125" s="54" t="str"/>
      <x:c r="M125" s="54" t="str"/>
      <x:c r="N125" s="54" t="str"/>
      <x:c r="O125" s="54" t="str">
        <x:v>高</x:v>
      </x:c>
      <x:c r="P125" s="52" t="str"/>
    </x:row>
    <x:row r="126" ht="54" customHeight="1">
      <x:c r="A126" s="54" t="n">
        <x:v>125</x:v>
      </x:c>
      <x:c r="B126" s="54" t="str">
        <x:v>SO-016</x:v>
      </x:c>
      <x:c r="C126" s="54" t="str">
        <x:v>セキュリティ・運用テスト</x:v>
      </x:c>
      <x:c r="D126" s="52" t="str">
        <x:v>入力検証</x:v>
      </x:c>
      <x:c r="E126" s="52" t="str">
        <x:v>SQLインジェクション</x:v>
      </x:c>
      <x:c r="F126" s="52" t="str">
        <x:v>検索文字列でSQLインジェクションが成立しないこと</x:v>
      </x:c>
      <x:c r="G126" s="52" t="str">
        <x:v>登録済みデータ</x:v>
      </x:c>
      <x:c r="H126" s="52" t="str">
        <x:v>検索欄に `' OR 1=1 --` 等を入力</x:v>
      </x:c>
      <x:c r="I126" s="52" t="str">
        <x:v>エラーや全件漏えいが起きず、安全に検索される</x:v>
      </x:c>
      <x:c r="J126" s="54" t="str">
        <x:v>未実施</x:v>
      </x:c>
      <x:c r="K126" s="56" t="str"/>
      <x:c r="L126" s="54" t="str"/>
      <x:c r="M126" s="54" t="str"/>
      <x:c r="N126" s="54" t="str"/>
      <x:c r="O126" s="54" t="str">
        <x:v>高</x:v>
      </x:c>
      <x:c r="P126" s="52" t="str"/>
    </x:row>
    <x:row r="127" ht="54" customHeight="1">
      <x:c r="A127" s="54" t="n">
        <x:v>126</x:v>
      </x:c>
      <x:c r="B127" s="54" t="str">
        <x:v>SO-017</x:v>
      </x:c>
      <x:c r="C127" s="54" t="str">
        <x:v>セキュリティ・運用テスト</x:v>
      </x:c>
      <x:c r="D127" s="52" t="str">
        <x:v>入力検証</x:v>
      </x:c>
      <x:c r="E127" s="52" t="str">
        <x:v>過大入力</x:v>
      </x:c>
      <x:c r="F127" s="52" t="str">
        <x:v>過大な文字列を送信しても異常終了しないこと</x:v>
      </x:c>
      <x:c r="G127" s="52" t="str">
        <x:v>APIクライアント</x:v>
      </x:c>
      <x:c r="H127" s="52" t="str">
        <x:v>各項目に上限超過文字列を送信</x:v>
      </x:c>
      <x:c r="I127" s="52" t="str">
        <x:v>バリデーションエラーとなりDBに登録されない</x:v>
      </x:c>
      <x:c r="J127" s="54" t="str">
        <x:v>未実施</x:v>
      </x:c>
      <x:c r="K127" s="56" t="str"/>
      <x:c r="L127" s="54" t="str"/>
      <x:c r="M127" s="54" t="str"/>
      <x:c r="N127" s="54" t="str"/>
      <x:c r="O127" s="54" t="str">
        <x:v>中</x:v>
      </x:c>
      <x:c r="P127" s="52" t="str"/>
    </x:row>
    <x:row r="128" ht="54" customHeight="1">
      <x:c r="A128" s="54" t="n">
        <x:v>127</x:v>
      </x:c>
      <x:c r="B128" s="54" t="str">
        <x:v>SO-018</x:v>
      </x:c>
      <x:c r="C128" s="54" t="str">
        <x:v>セキュリティ・運用テスト</x:v>
      </x:c>
      <x:c r="D128" s="52" t="str">
        <x:v>データ保護</x:v>
      </x:c>
      <x:c r="E128" s="52" t="str">
        <x:v>番号非保存</x:v>
      </x:c>
      <x:c r="F128" s="52" t="str">
        <x:v>マイナンバー/免許証番号がDBに保存されていないこと</x:v>
      </x:c>
      <x:c r="G128" s="52" t="str">
        <x:v>登録後DB確認可能</x:v>
      </x:c>
      <x:c r="H128" s="52" t="str">
        <x:v>各カードを登録後、テーブル定義と値を確認</x:v>
      </x:c>
      <x:c r="I128" s="52" t="str">
        <x:v>番号列が存在せず、値も保存されていない</x:v>
      </x:c>
      <x:c r="J128" s="54" t="str">
        <x:v>未実施</x:v>
      </x:c>
      <x:c r="K128" s="56" t="str"/>
      <x:c r="L128" s="54" t="str"/>
      <x:c r="M128" s="54" t="str"/>
      <x:c r="N128" s="54" t="str"/>
      <x:c r="O128" s="54" t="str">
        <x:v>高</x:v>
      </x:c>
      <x:c r="P128" s="52" t="str"/>
    </x:row>
    <x:row r="129" ht="54" customHeight="1">
      <x:c r="A129" s="54" t="n">
        <x:v>128</x:v>
      </x:c>
      <x:c r="B129" s="54" t="str">
        <x:v>SO-019</x:v>
      </x:c>
      <x:c r="C129" s="54" t="str">
        <x:v>セキュリティ・運用テスト</x:v>
      </x:c>
      <x:c r="D129" s="52" t="str">
        <x:v>データ保護</x:v>
      </x:c>
      <x:c r="E129" s="52" t="str">
        <x:v>端末保存</x:v>
      </x:c>
      <x:c r="F129" s="52" t="str">
        <x:v>Android端末内に読取データが残らないこと</x:v>
      </x:c>
      <x:c r="G129" s="52" t="str">
        <x:v>実機、操作後</x:v>
      </x:c>
      <x:c r="H129" s="52" t="str">
        <x:v>登録後にアプリデータ/ログ/キャッシュを確認</x:v>
      </x:c>
      <x:c r="I129" s="52" t="str">
        <x:v>読取データが永続保存されていない</x:v>
      </x:c>
      <x:c r="J129" s="54" t="str">
        <x:v>未実施</x:v>
      </x:c>
      <x:c r="K129" s="56" t="str"/>
      <x:c r="L129" s="54" t="str"/>
      <x:c r="M129" s="54" t="str"/>
      <x:c r="N129" s="54" t="str"/>
      <x:c r="O129" s="54" t="str">
        <x:v>高</x:v>
      </x:c>
      <x:c r="P129" s="52" t="str"/>
    </x:row>
    <x:row r="130" ht="54" customHeight="1">
      <x:c r="A130" s="54" t="n">
        <x:v>129</x:v>
      </x:c>
      <x:c r="B130" s="54" t="str">
        <x:v>SO-020</x:v>
      </x:c>
      <x:c r="C130" s="54" t="str">
        <x:v>セキュリティ・運用テスト</x:v>
      </x:c>
      <x:c r="D130" s="52" t="str">
        <x:v>データ保護</x:v>
      </x:c>
      <x:c r="E130" s="52" t="str">
        <x:v>ログ出力</x:v>
      </x:c>
      <x:c r="F130" s="52" t="str">
        <x:v>ログに個人情報・PIN・番号が出力されないこと</x:v>
      </x:c>
      <x:c r="G130" s="52" t="str">
        <x:v>Android/サーバーログ確認可能</x:v>
      </x:c>
      <x:c r="H130" s="52" t="str">
        <x:v>正常/異常読取、送信、検索を実施</x:v>
      </x:c>
      <x:c r="I130" s="52" t="str">
        <x:v>PIN、番号、氏名住所等の不要な個人情報がログに出ていない</x:v>
      </x:c>
      <x:c r="J130" s="54" t="str">
        <x:v>未実施</x:v>
      </x:c>
      <x:c r="K130" s="56" t="str"/>
      <x:c r="L130" s="54" t="str"/>
      <x:c r="M130" s="54" t="str"/>
      <x:c r="N130" s="54" t="str"/>
      <x:c r="O130" s="54" t="str">
        <x:v>高</x:v>
      </x:c>
      <x:c r="P130" s="52" t="str"/>
    </x:row>
    <x:row r="131" ht="54" customHeight="1">
      <x:c r="A131" s="54" t="n">
        <x:v>130</x:v>
      </x:c>
      <x:c r="B131" s="54" t="str">
        <x:v>SO-021</x:v>
      </x:c>
      <x:c r="C131" s="54" t="str">
        <x:v>セキュリティ・運用テスト</x:v>
      </x:c>
      <x:c r="D131" s="52" t="str">
        <x:v>データ保護</x:v>
      </x:c>
      <x:c r="E131" s="52" t="str">
        <x:v>エラー表示</x:v>
      </x:c>
      <x:c r="F131" s="52" t="str">
        <x:v>エラー画面に内部情報を出しすぎないこと</x:v>
      </x:c>
      <x:c r="G131" s="52" t="str">
        <x:v>APIエラーを発生させる</x:v>
      </x:c>
      <x:c r="H131" s="52" t="str">
        <x:v>DB停止、例外、バリデーションエラー等を確認</x:v>
      </x:c>
      <x:c r="I131" s="52" t="str">
        <x:v>利用者画面にスタックトレースや接続情報が表示されない</x:v>
      </x:c>
      <x:c r="J131" s="54" t="str">
        <x:v>未実施</x:v>
      </x:c>
      <x:c r="K131" s="56" t="str"/>
      <x:c r="L131" s="54" t="str"/>
      <x:c r="M131" s="54" t="str"/>
      <x:c r="N131" s="54" t="str"/>
      <x:c r="O131" s="54" t="str">
        <x:v>高</x:v>
      </x:c>
      <x:c r="P131" s="52" t="str"/>
    </x:row>
    <x:row r="132" ht="54" customHeight="1">
      <x:c r="A132" s="54" t="n">
        <x:v>131</x:v>
      </x:c>
      <x:c r="B132" s="54" t="str">
        <x:v>SO-022</x:v>
      </x:c>
      <x:c r="C132" s="54" t="str">
        <x:v>セキュリティ・運用テスト</x:v>
      </x:c>
      <x:c r="D132" s="52" t="str">
        <x:v>権限管理</x:v>
      </x:c>
      <x:c r="E132" s="52" t="str">
        <x:v>DB権限</x:v>
      </x:c>
      <x:c r="F132" s="52" t="str">
        <x:v>アプリDBユーザー権限が最小限であること</x:v>
      </x:c>
      <x:c r="G132" s="52" t="str">
        <x:v>DB管理者確認</x:v>
      </x:c>
      <x:c r="H132" s="52" t="str">
        <x:v>アプリ接続ユーザーの権限を確認</x:v>
      </x:c>
      <x:c r="I132" s="52" t="str">
        <x:v>不要なDDL/管理者権限を持たない</x:v>
      </x:c>
      <x:c r="J132" s="54" t="str">
        <x:v>未実施</x:v>
      </x:c>
      <x:c r="K132" s="56" t="str"/>
      <x:c r="L132" s="54" t="str"/>
      <x:c r="M132" s="54" t="str"/>
      <x:c r="N132" s="54" t="str"/>
      <x:c r="O132" s="54" t="str">
        <x:v>中</x:v>
      </x:c>
      <x:c r="P132" s="52" t="str"/>
    </x:row>
    <x:row r="133" ht="54" customHeight="1">
      <x:c r="A133" s="54" t="n">
        <x:v>132</x:v>
      </x:c>
      <x:c r="B133" s="54" t="str">
        <x:v>SO-023</x:v>
      </x:c>
      <x:c r="C133" s="54" t="str">
        <x:v>セキュリティ・運用テスト</x:v>
      </x:c>
      <x:c r="D133" s="52" t="str">
        <x:v>権限管理</x:v>
      </x:c>
      <x:c r="E133" s="52" t="str">
        <x:v>サーバーファイル権限</x:v>
      </x:c>
      <x:c r="F133" s="52" t="str">
        <x:v>Laravel .env 等の権限が適切であること</x:v>
      </x:c>
      <x:c r="G133" s="52" t="str">
        <x:v>サーバー上で確認</x:v>
      </x:c>
      <x:c r="H133" s="52" t="str">
        <x:v>設定ファイルの権限/公開範囲を確認</x:v>
      </x:c>
      <x:c r="I133" s="52" t="str">
        <x:v>.env がWeb公開されず、必要最小限のアカウントのみ読取可能</x:v>
      </x:c>
      <x:c r="J133" s="54" t="str">
        <x:v>未実施</x:v>
      </x:c>
      <x:c r="K133" s="56" t="str"/>
      <x:c r="L133" s="54" t="str"/>
      <x:c r="M133" s="54" t="str"/>
      <x:c r="N133" s="54" t="str"/>
      <x:c r="O133" s="54" t="str">
        <x:v>高</x:v>
      </x:c>
      <x:c r="P133" s="52" t="str"/>
    </x:row>
    <x:row r="134" ht="54" customHeight="1">
      <x:c r="A134" s="54" t="n">
        <x:v>133</x:v>
      </x:c>
      <x:c r="B134" s="54" t="str">
        <x:v>SO-024</x:v>
      </x:c>
      <x:c r="C134" s="54" t="str">
        <x:v>セキュリティ・運用テスト</x:v>
      </x:c>
      <x:c r="D134" s="52" t="str">
        <x:v>運用</x:v>
      </x:c>
      <x:c r="E134" s="52" t="str">
        <x:v>バックアップ</x:v>
      </x:c>
      <x:c r="F134" s="52" t="str">
        <x:v>DBバックアップ対象に必要データが含まれること</x:v>
      </x:c>
      <x:c r="G134" s="52" t="str">
        <x:v>バックアップ手順確認</x:v>
      </x:c>
      <x:c r="H134" s="52" t="str">
        <x:v>バックアップ実行・リストア検証を行う</x:v>
      </x:c>
      <x:c r="I134" s="52" t="str">
        <x:v>users、card_records、settings、sessions等の要否に従い復旧できる</x:v>
      </x:c>
      <x:c r="J134" s="54" t="str">
        <x:v>未実施</x:v>
      </x:c>
      <x:c r="K134" s="56" t="str"/>
      <x:c r="L134" s="54" t="str"/>
      <x:c r="M134" s="54" t="str"/>
      <x:c r="N134" s="54" t="str"/>
      <x:c r="O134" s="54" t="str">
        <x:v>高</x:v>
      </x:c>
      <x:c r="P134" s="52" t="str"/>
    </x:row>
    <x:row r="135" ht="54" customHeight="1">
      <x:c r="A135" s="54" t="n">
        <x:v>134</x:v>
      </x:c>
      <x:c r="B135" s="54" t="str">
        <x:v>SO-025</x:v>
      </x:c>
      <x:c r="C135" s="54" t="str">
        <x:v>セキュリティ・運用テスト</x:v>
      </x:c>
      <x:c r="D135" s="52" t="str">
        <x:v>運用</x:v>
      </x:c>
      <x:c r="E135" s="52" t="str">
        <x:v>リストア</x:v>
      </x:c>
      <x:c r="F135" s="52" t="str">
        <x:v>バックアップから復旧できること</x:v>
      </x:c>
      <x:c r="G135" s="52" t="str">
        <x:v>検証環境</x:v>
      </x:c>
      <x:c r="H135" s="52" t="str">
        <x:v>DBをバックアップから戻し、アプリ起動</x:v>
      </x:c>
      <x:c r="I135" s="52" t="str">
        <x:v>ユーザー、設定、記録一覧が復旧する</x:v>
      </x:c>
      <x:c r="J135" s="54" t="str">
        <x:v>未実施</x:v>
      </x:c>
      <x:c r="K135" s="56" t="str"/>
      <x:c r="L135" s="54" t="str"/>
      <x:c r="M135" s="54" t="str"/>
      <x:c r="N135" s="54" t="str"/>
      <x:c r="O135" s="54" t="str">
        <x:v>高</x:v>
      </x:c>
      <x:c r="P135" s="52" t="str"/>
    </x:row>
    <x:row r="136" ht="54" customHeight="1">
      <x:c r="A136" s="54" t="n">
        <x:v>135</x:v>
      </x:c>
      <x:c r="B136" s="54" t="str">
        <x:v>SO-026</x:v>
      </x:c>
      <x:c r="C136" s="54" t="str">
        <x:v>セキュリティ・運用テスト</x:v>
      </x:c>
      <x:c r="D136" s="52" t="str">
        <x:v>運用</x:v>
      </x:c>
      <x:c r="E136" s="52" t="str">
        <x:v>監査</x:v>
      </x:c>
      <x:c r="F136" s="52" t="str">
        <x:v>登録・設定変更の監査証跡が確認できること</x:v>
      </x:c>
      <x:c r="G136" s="52" t="str">
        <x:v>監査ログ仕様確認</x:v>
      </x:c>
      <x:c r="H136" s="52" t="str">
        <x:v>登録・設定変更を実施</x:v>
      </x:c>
      <x:c r="I136" s="52" t="str">
        <x:v>誰が・いつ・何を行ったか追跡できる</x:v>
      </x:c>
      <x:c r="J136" s="54" t="str">
        <x:v>未実施</x:v>
      </x:c>
      <x:c r="K136" s="56" t="str"/>
      <x:c r="L136" s="54" t="str"/>
      <x:c r="M136" s="54" t="str"/>
      <x:c r="N136" s="54" t="str"/>
      <x:c r="O136" s="54" t="str">
        <x:v>高</x:v>
      </x:c>
      <x:c r="P136" s="52" t="str">
        <x:v>未実装の場合は改善課題化</x:v>
      </x:c>
    </x:row>
    <x:row r="137" ht="54" customHeight="1">
      <x:c r="A137" s="54" t="n">
        <x:v>136</x:v>
      </x:c>
      <x:c r="B137" s="54" t="str">
        <x:v>SO-027</x:v>
      </x:c>
      <x:c r="C137" s="54" t="str">
        <x:v>セキュリティ・運用テスト</x:v>
      </x:c>
      <x:c r="D137" s="52" t="str">
        <x:v>運用</x:v>
      </x:c>
      <x:c r="E137" s="52" t="str">
        <x:v>時刻同期</x:v>
      </x:c>
      <x:c r="F137" s="52" t="str">
        <x:v>サーバー時刻が正確で登録時刻に影響しないこと</x:v>
      </x:c>
      <x:c r="G137" s="52" t="str">
        <x:v>NTP設定確認</x:v>
      </x:c>
      <x:c r="H137" s="52" t="str">
        <x:v>サーバー時刻と登録日時を確認</x:v>
      </x:c>
      <x:c r="I137" s="52" t="str">
        <x:v>時刻ズレが業務上許容範囲内である</x:v>
      </x:c>
      <x:c r="J137" s="54" t="str">
        <x:v>未実施</x:v>
      </x:c>
      <x:c r="K137" s="56" t="str"/>
      <x:c r="L137" s="54" t="str"/>
      <x:c r="M137" s="54" t="str"/>
      <x:c r="N137" s="54" t="str"/>
      <x:c r="O137" s="54" t="str">
        <x:v>中</x:v>
      </x:c>
      <x:c r="P137" s="52" t="str"/>
    </x:row>
    <x:row r="138" ht="54" customHeight="1">
      <x:c r="A138" s="54" t="n">
        <x:v>137</x:v>
      </x:c>
      <x:c r="B138" s="54" t="str">
        <x:v>SO-028</x:v>
      </x:c>
      <x:c r="C138" s="54" t="str">
        <x:v>セキュリティ・運用テスト</x:v>
      </x:c>
      <x:c r="D138" s="52" t="str">
        <x:v>運用</x:v>
      </x:c>
      <x:c r="E138" s="52" t="str">
        <x:v>端末紛失</x:v>
      </x:c>
      <x:c r="F138" s="52" t="str">
        <x:v>タブレット紛失時の影響を評価できること</x:v>
      </x:c>
      <x:c r="G138" s="52" t="str">
        <x:v>MDM/端末ロック設定確認</x:v>
      </x:c>
      <x:c r="H138" s="52" t="str">
        <x:v>端末ロック、アプリデータ、セッション有無を確認</x:v>
      </x:c>
      <x:c r="I138" s="52" t="str">
        <x:v>端末単体から不正利用・データ取得されにくい</x:v>
      </x:c>
      <x:c r="J138" s="54" t="str">
        <x:v>未実施</x:v>
      </x:c>
      <x:c r="K138" s="56" t="str"/>
      <x:c r="L138" s="54" t="str"/>
      <x:c r="M138" s="54" t="str"/>
      <x:c r="N138" s="54" t="str"/>
      <x:c r="O138" s="54" t="str">
        <x:v>高</x:v>
      </x:c>
      <x:c r="P138" s="52" t="str"/>
    </x:row>
    <x:row r="139" ht="54" customHeight="1">
      <x:c r="A139" s="54" t="n">
        <x:v>138</x:v>
      </x:c>
      <x:c r="B139" s="54" t="str">
        <x:v>SO-029</x:v>
      </x:c>
      <x:c r="C139" s="54" t="str">
        <x:v>セキュリティ・運用テスト</x:v>
      </x:c>
      <x:c r="D139" s="52" t="str">
        <x:v>運用</x:v>
      </x:c>
      <x:c r="E139" s="52" t="str">
        <x:v>ログ保管</x:v>
      </x:c>
      <x:c r="F139" s="52" t="str">
        <x:v>ログ保管期間・容量が運用可能であること</x:v>
      </x:c>
      <x:c r="G139" s="52" t="str">
        <x:v>ログ設定確認</x:v>
      </x:c>
      <x:c r="H139" s="52" t="str">
        <x:v>通常操作と異常操作を発生させログ量を確認</x:v>
      </x:c>
      <x:c r="I139" s="52" t="str">
        <x:v>必要なログが保管され、容量枯渇リスクが管理されている</x:v>
      </x:c>
      <x:c r="J139" s="54" t="str">
        <x:v>未実施</x:v>
      </x:c>
      <x:c r="K139" s="56" t="str"/>
      <x:c r="L139" s="54" t="str"/>
      <x:c r="M139" s="54" t="str"/>
      <x:c r="N139" s="54" t="str"/>
      <x:c r="O139" s="54" t="str">
        <x:v>中</x:v>
      </x:c>
      <x:c r="P139" s="52" t="str"/>
    </x:row>
    <x:row r="140" ht="54" customHeight="1">
      <x:c r="A140" s="54" t="n">
        <x:v>139</x:v>
      </x:c>
      <x:c r="B140" s="54" t="str">
        <x:v>SO-030</x:v>
      </x:c>
      <x:c r="C140" s="54" t="str">
        <x:v>セキュリティ・運用テスト</x:v>
      </x:c>
      <x:c r="D140" s="52" t="str">
        <x:v>運用</x:v>
      </x:c>
      <x:c r="E140" s="52" t="str">
        <x:v>本番切替</x:v>
      </x:c>
      <x:c r="F140" s="52" t="str">
        <x:v>本番URL/DB接続先の誤設定を検知できること</x:v>
      </x:c>
      <x:c r="G140" s="52" t="str">
        <x:v>本番移行前手順を用意</x:v>
      </x:c>
      <x:c r="H140" s="52" t="str">
        <x:v>設定ファイル、.env、接続先をチェック</x:v>
      </x:c>
      <x:c r="I140" s="52" t="str">
        <x:v>ステージング/本番の取り違えがない</x:v>
      </x:c>
      <x:c r="J140" s="54" t="str">
        <x:v>未実施</x:v>
      </x:c>
      <x:c r="K140" s="56" t="str"/>
      <x:c r="L140" s="54" t="str"/>
      <x:c r="M140" s="54" t="str"/>
      <x:c r="N140" s="54" t="str"/>
      <x:c r="O140" s="54" t="str">
        <x:v>高</x:v>
      </x:c>
      <x:c r="P140" s="52" t="str"/>
    </x:row>
    <x:row r="141" ht="54" customHeight="1">
      <x:c r="A141" s="54" t="n">
        <x:v>140</x:v>
      </x:c>
      <x:c r="B141" s="54" t="str">
        <x:v>SO-031</x:v>
      </x:c>
      <x:c r="C141" s="54" t="str">
        <x:v>セキュリティ・運用テスト</x:v>
      </x:c>
      <x:c r="D141" s="52" t="str">
        <x:v>運用</x:v>
      </x:c>
      <x:c r="E141" s="52" t="str">
        <x:v>変更管理</x:v>
      </x:c>
      <x:c r="F141" s="52" t="str">
        <x:v>設定変更・APK配布が手順化されていること</x:v>
      </x:c>
      <x:c r="G141" s="52" t="str">
        <x:v>運用手順書を用意</x:v>
      </x:c>
      <x:c r="H141" s="52" t="str">
        <x:v>サーバー設定変更、APK再配布手順をレビュー</x:v>
      </x:c>
      <x:c r="I141" s="52" t="str">
        <x:v>担当者、承認、戻し手順が明確である</x:v>
      </x:c>
      <x:c r="J141" s="54" t="str">
        <x:v>未実施</x:v>
      </x:c>
      <x:c r="K141" s="56" t="str"/>
      <x:c r="L141" s="54" t="str"/>
      <x:c r="M141" s="54" t="str"/>
      <x:c r="N141" s="54" t="str"/>
      <x:c r="O141" s="54" t="str">
        <x:v>中</x:v>
      </x:c>
      <x:c r="P141" s="52" t="str"/>
    </x:row>
    <x:row r="142" ht="54" customHeight="1">
      <x:c r="A142" s="54" t="n">
        <x:v>141</x:v>
      </x:c>
      <x:c r="B142" s="54" t="str">
        <x:v>SO-032</x:v>
      </x:c>
      <x:c r="C142" s="54" t="str">
        <x:v>セキュリティ・運用テスト</x:v>
      </x:c>
      <x:c r="D142" s="52" t="str">
        <x:v>脆弱性確認</x:v>
      </x:c>
      <x:c r="E142" s="52" t="str">
        <x:v>依存ライブラリ</x:v>
      </x:c>
      <x:c r="F142" s="52" t="str">
        <x:v>利用ライブラリに既知脆弱性がないこと</x:v>
      </x:c>
      <x:c r="G142" s="52" t="str">
        <x:v>composer/npm/gradle の依存一覧確認</x:v>
      </x:c>
      <x:c r="H142" s="52" t="str">
        <x:v>脆弱性チェック結果を確認する</x:v>
      </x:c>
      <x:c r="I142" s="52" t="str">
        <x:v>重大な既知脆弱性がない、または対応方針が記録されている</x:v>
      </x:c>
      <x:c r="J142" s="54" t="str">
        <x:v>未実施</x:v>
      </x:c>
      <x:c r="K142" s="56" t="str"/>
      <x:c r="L142" s="54" t="str"/>
      <x:c r="M142" s="54" t="str"/>
      <x:c r="N142" s="54" t="str"/>
      <x:c r="O142" s="54" t="str">
        <x:v>高</x:v>
      </x:c>
      <x:c r="P142" s="52" t="str"/>
    </x:row>
    <x:row r="143" ht="54" customHeight="1">
      <x:c r="A143" s="54" t="n">
        <x:v>142</x:v>
      </x:c>
      <x:c r="B143" s="54" t="str">
        <x:v>SO-033</x:v>
      </x:c>
      <x:c r="C143" s="54" t="str">
        <x:v>セキュリティ・運用テスト</x:v>
      </x:c>
      <x:c r="D143" s="52" t="str">
        <x:v>脆弱性確認</x:v>
      </x:c>
      <x:c r="E143" s="52" t="str">
        <x:v>デバッグ機能</x:v>
      </x:c>
      <x:c r="F143" s="52" t="str">
        <x:v>PCモックやデバッグ用機能が本番で悪用されないこと</x:v>
      </x:c>
      <x:c r="G143" s="52" t="str">
        <x:v>本番相当ビルド/環境</x:v>
      </x:c>
      <x:c r="H143" s="52" t="str">
        <x:v>Bridge.mockCard等の利用可否を確認</x:v>
      </x:c>
      <x:c r="I143" s="52" t="str">
        <x:v>本番運用上問題ない範囲に制限されている</x:v>
      </x:c>
      <x:c r="J143" s="54" t="str">
        <x:v>未実施</x:v>
      </x:c>
      <x:c r="K143" s="56" t="str"/>
      <x:c r="L143" s="54" t="str"/>
      <x:c r="M143" s="54" t="str"/>
      <x:c r="N143" s="54" t="str"/>
      <x:c r="O143" s="54" t="str">
        <x:v>中</x:v>
      </x:c>
      <x:c r="P143" s="52" t="str"/>
    </x:row>
  </x:sheetData>
  <x:dataValidations count="2">
    <x:dataValidation type="list" allowBlank="1" showDropDown="0" sqref="J2:J200">
      <x:formula1>"未実施,OK,NG,保留,対象外"</x:formula1>
    </x:dataValidation>
    <x:dataValidation type="list" allowBlank="1" showDropDown="0" sqref="O2:O200">
      <x:formula1>"高,中,低"</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10" hidden="0" customWidth="1"/>
    <x:col min="3" max="3" width="15" hidden="0" customWidth="1"/>
    <x:col min="4" max="4" width="16" hidden="0" customWidth="1"/>
    <x:col min="5" max="5" width="22" hidden="0" customWidth="1"/>
    <x:col min="6" max="6" width="24" hidden="0" customWidth="1"/>
    <x:col min="7" max="7" width="30" hidden="0" customWidth="1"/>
    <x:col min="8" max="8" width="38" hidden="0" customWidth="1"/>
    <x:col min="9" max="9" width="40" hidden="0" customWidth="1"/>
    <x:col min="10" max="10" width="12" hidden="0" customWidth="1"/>
    <x:col min="11" max="11" width="12" hidden="0" customWidth="1"/>
    <x:col min="12" max="12" width="14" hidden="0" customWidth="1"/>
    <x:col min="13" max="13" width="20" hidden="0" customWidth="1"/>
    <x:col min="14" max="14" width="14" hidden="0" customWidth="1"/>
    <x:col min="15" max="15" width="10" hidden="0" customWidth="1"/>
    <x:col min="16" max="16" width="22" hidden="0" customWidth="1"/>
  </x:cols>
  <x:sheetData>
    <x:row r="1" ht="30" customHeight="1">
      <x:c r="A1" s="28" t="str">
        <x:v>No.</x:v>
      </x:c>
      <x:c r="B1" s="28" t="str">
        <x:v>テストID</x:v>
      </x:c>
      <x:c r="C1" s="28" t="str">
        <x:v>工程</x:v>
      </x:c>
      <x:c r="D1" s="28" t="str">
        <x:v>大分類</x:v>
      </x:c>
      <x:c r="E1" s="28" t="str">
        <x:v>対象機能/モジュール</x:v>
      </x:c>
      <x:c r="F1" s="28" t="str">
        <x:v>試験観点</x:v>
      </x:c>
      <x:c r="G1" s="28" t="str">
        <x:v>前提条件</x:v>
      </x:c>
      <x:c r="H1" s="28" t="str">
        <x:v>操作手順</x:v>
      </x:c>
      <x:c r="I1" s="28" t="str">
        <x:v>確認内容・期待結果</x:v>
      </x:c>
      <x:c r="J1" s="28" t="str">
        <x:v>結果</x:v>
      </x:c>
      <x:c r="K1" s="28" t="str">
        <x:v>実施日</x:v>
      </x:c>
      <x:c r="L1" s="28" t="str">
        <x:v>実施者</x:v>
      </x:c>
      <x:c r="M1" s="28" t="str">
        <x:v>エビデンス</x:v>
      </x:c>
      <x:c r="N1" s="28" t="str">
        <x:v>不具合票</x:v>
      </x:c>
      <x:c r="O1" s="28" t="str">
        <x:v>優先度</x:v>
      </x:c>
      <x:c r="P1" s="28" t="str">
        <x:v>備考</x:v>
      </x:c>
    </x:row>
    <x:row r="2" ht="54" customHeight="1">
      <x:c r="A2" s="54" t="n">
        <x:v>1</x:v>
      </x:c>
      <x:c r="B2" s="54" t="str">
        <x:v>UT-001</x:v>
      </x:c>
      <x:c r="C2" s="54" t="str">
        <x:v>単体テスト</x:v>
      </x:c>
      <x:c r="D2" s="52" t="str">
        <x:v>Android</x:v>
      </x:c>
      <x:c r="E2" s="52" t="str">
        <x:v>NfcConfig.load</x:v>
      </x:c>
      <x:c r="F2" s="52" t="str">
        <x:v>設定ファイルを正常読込できること</x:v>
      </x:c>
      <x:c r="G2" s="52" t="str">
        <x:v>assets/nfc_config.json に有効なJSONを配置</x:v>
      </x:c>
      <x:c r="H2" s="52" t="str">
        <x:v>APKを起動し、Bridge.getConfig() またはデバッグログで設定値を確認する</x:v>
      </x:c>
      <x:c r="I2" s="52" t="str">
        <x:v>server_url、collect_* の各値がJSONの内容通りに読み込まれる</x:v>
      </x:c>
      <x:c r="J2" s="54" t="str">
        <x:v>未実施</x:v>
      </x:c>
      <x:c r="K2" s="56" t="str"/>
      <x:c r="L2" s="54" t="str"/>
      <x:c r="M2" s="54" t="str"/>
      <x:c r="N2" s="54" t="str"/>
      <x:c r="O2" s="54" t="str">
        <x:v>高</x:v>
      </x:c>
      <x:c r="P2" s="52" t="str"/>
    </x:row>
    <x:row r="3" ht="54" customHeight="1">
      <x:c r="A3" s="54" t="n">
        <x:v>2</x:v>
      </x:c>
      <x:c r="B3" s="54" t="str">
        <x:v>UT-002</x:v>
      </x:c>
      <x:c r="C3" s="54" t="str">
        <x:v>単体テスト</x:v>
      </x:c>
      <x:c r="D3" s="52" t="str">
        <x:v>Android</x:v>
      </x:c>
      <x:c r="E3" s="52" t="str">
        <x:v>NfcConfig.load</x:v>
      </x:c>
      <x:c r="F3" s="52" t="str">
        <x:v>設定ファイル欠落時に安全なデフォルトで起動すること</x:v>
      </x:c>
      <x:c r="G3" s="52" t="str">
        <x:v>assets/nfc_config.json を欠落/名称変更したビルドを用意</x:v>
      </x:c>
      <x:c r="H3" s="52" t="str">
        <x:v>APKを起動し、設定値を確認する</x:v>
      </x:c>
      <x:c r="I3" s="52" t="str">
        <x:v>例外終了せず、server_url は既定値、マイナンバー/免許証番号収集は false になる</x:v>
      </x:c>
      <x:c r="J3" s="54" t="str">
        <x:v>未実施</x:v>
      </x:c>
      <x:c r="K3" s="56" t="str"/>
      <x:c r="L3" s="54" t="str"/>
      <x:c r="M3" s="54" t="str"/>
      <x:c r="N3" s="54" t="str"/>
      <x:c r="O3" s="54" t="str">
        <x:v>高</x:v>
      </x:c>
      <x:c r="P3" s="52" t="str"/>
    </x:row>
    <x:row r="4" ht="54" customHeight="1">
      <x:c r="A4" s="54" t="n">
        <x:v>3</x:v>
      </x:c>
      <x:c r="B4" s="54" t="str">
        <x:v>UT-003</x:v>
      </x:c>
      <x:c r="C4" s="54" t="str">
        <x:v>単体テスト</x:v>
      </x:c>
      <x:c r="D4" s="52" t="str">
        <x:v>Android</x:v>
      </x:c>
      <x:c r="E4" s="52" t="str">
        <x:v>NfcConfig.load</x:v>
      </x:c>
      <x:c r="F4" s="52" t="str">
        <x:v>不正JSON時に安全なデフォルトで起動すること</x:v>
      </x:c>
      <x:c r="G4" s="52" t="str">
        <x:v>assets/nfc_config.json を不正JSONにしたビルドを用意</x:v>
      </x:c>
      <x:c r="H4" s="52" t="str">
        <x:v>APKを起動し、設定値を確認する</x:v>
      </x:c>
      <x:c r="I4" s="52" t="str">
        <x:v>例外終了せず、収集禁止項目が false になる</x:v>
      </x:c>
      <x:c r="J4" s="54" t="str">
        <x:v>未実施</x:v>
      </x:c>
      <x:c r="K4" s="56" t="str"/>
      <x:c r="L4" s="54" t="str"/>
      <x:c r="M4" s="54" t="str"/>
      <x:c r="N4" s="54" t="str"/>
      <x:c r="O4" s="54" t="str">
        <x:v>高</x:v>
      </x:c>
      <x:c r="P4" s="52" t="str"/>
    </x:row>
    <x:row r="5" ht="54" customHeight="1">
      <x:c r="A5" s="54" t="n">
        <x:v>4</x:v>
      </x:c>
      <x:c r="B5" s="54" t="str">
        <x:v>UT-004</x:v>
      </x:c>
      <x:c r="C5" s="54" t="str">
        <x:v>単体テスト</x:v>
      </x:c>
      <x:c r="D5" s="52" t="str">
        <x:v>Android</x:v>
      </x:c>
      <x:c r="E5" s="52" t="str">
        <x:v>NfcConfig</x:v>
      </x:c>
      <x:c r="F5" s="52" t="str">
        <x:v>収集禁止フィールドが false の場合、カード読取処理で対象EFを読まないこと</x:v>
      </x:c>
      <x:c r="G5" s="52" t="str">
        <x:v>collect_my_number=false、collect_license_number=false</x:v>
      </x:c>
      <x:c r="H5" s="52" t="str">
        <x:v>APDU通信ログまたはデバッグ用モックで対象EF読取の有無を確認する</x:v>
      </x:c>
      <x:c r="I5" s="52" t="str">
        <x:v>個人番号/免許証番号に該当する読取処理がスキップされる</x:v>
      </x:c>
      <x:c r="J5" s="54" t="str">
        <x:v>未実施</x:v>
      </x:c>
      <x:c r="K5" s="56" t="str"/>
      <x:c r="L5" s="54" t="str"/>
      <x:c r="M5" s="54" t="str"/>
      <x:c r="N5" s="54" t="str"/>
      <x:c r="O5" s="54" t="str">
        <x:v>高</x:v>
      </x:c>
      <x:c r="P5" s="52" t="str"/>
    </x:row>
    <x:row r="6" ht="54" customHeight="1">
      <x:c r="A6" s="54" t="n">
        <x:v>5</x:v>
      </x:c>
      <x:c r="B6" s="54" t="str">
        <x:v>UT-005</x:v>
      </x:c>
      <x:c r="C6" s="54" t="str">
        <x:v>単体テスト</x:v>
      </x:c>
      <x:c r="D6" s="52" t="str">
        <x:v>Android</x:v>
      </x:c>
      <x:c r="E6" s="52" t="str">
        <x:v>AndroidManifest</x:v>
      </x:c>
      <x:c r="F6" s="52" t="str">
        <x:v>NFC必須端末として定義されていること</x:v>
      </x:c>
      <x:c r="G6" s="52" t="str">
        <x:v>AndroidManifest.xml を確認可能な状態</x:v>
      </x:c>
      <x:c r="H6" s="52" t="str">
        <x:v>APK情報またはManifestを確認する</x:v>
      </x:c>
      <x:c r="I6" s="52" t="str">
        <x:v>android.hardware.nfc required=true、NFC権限、INTERNET権限が定義されている</x:v>
      </x:c>
      <x:c r="J6" s="54" t="str">
        <x:v>未実施</x:v>
      </x:c>
      <x:c r="K6" s="56" t="str"/>
      <x:c r="L6" s="54" t="str"/>
      <x:c r="M6" s="54" t="str"/>
      <x:c r="N6" s="54" t="str"/>
      <x:c r="O6" s="54" t="str">
        <x:v>中</x:v>
      </x:c>
      <x:c r="P6" s="52" t="str"/>
    </x:row>
    <x:row r="7" ht="54" customHeight="1">
      <x:c r="A7" s="54" t="n">
        <x:v>6</x:v>
      </x:c>
      <x:c r="B7" s="54" t="str">
        <x:v>UT-006</x:v>
      </x:c>
      <x:c r="C7" s="54" t="str">
        <x:v>単体テスト</x:v>
      </x:c>
      <x:c r="D7" s="52" t="str">
        <x:v>Android</x:v>
      </x:c>
      <x:c r="E7" s="52" t="str">
        <x:v>NfcBridgeActivity WebView設定</x:v>
      </x:c>
      <x:c r="F7" s="52" t="str">
        <x:v>WebViewの保存抑止設定が有効であること</x:v>
      </x:c>
      <x:c r="G7" s="52" t="str">
        <x:v>APKを起動</x:v>
      </x:c>
      <x:c r="H7" s="52" t="str">
        <x:v>WebView設定をコード/実機挙動で確認する</x:v>
      </x:c>
      <x:c r="I7" s="52" t="str">
        <x:v>DOM Storage、Database、File Access が無効で、不要なローカル保存が行われない</x:v>
      </x:c>
      <x:c r="J7" s="54" t="str">
        <x:v>未実施</x:v>
      </x:c>
      <x:c r="K7" s="56" t="str"/>
      <x:c r="L7" s="54" t="str"/>
      <x:c r="M7" s="54" t="str"/>
      <x:c r="N7" s="54" t="str"/>
      <x:c r="O7" s="54" t="str">
        <x:v>高</x:v>
      </x:c>
      <x:c r="P7" s="52" t="str"/>
    </x:row>
    <x:row r="8" ht="54" customHeight="1">
      <x:c r="A8" s="54" t="n">
        <x:v>7</x:v>
      </x:c>
      <x:c r="B8" s="54" t="str">
        <x:v>UT-007</x:v>
      </x:c>
      <x:c r="C8" s="54" t="str">
        <x:v>単体テスト</x:v>
      </x:c>
      <x:c r="D8" s="52" t="str">
        <x:v>Android</x:v>
      </x:c>
      <x:c r="E8" s="52" t="str">
        <x:v>NfcBridgeActivity</x:v>
      </x:c>
      <x:c r="F8" s="52" t="str">
        <x:v>起動時に設定URLを表示できること</x:v>
      </x:c>
      <x:c r="G8" s="52" t="str">
        <x:v>server_url に疎通可能なLaravel URLを設定</x:v>
      </x:c>
      <x:c r="H8" s="52" t="str">
        <x:v>APKを起動する</x:v>
      </x:c>
      <x:c r="I8" s="52" t="str">
        <x:v>WebViewが設定URLを開き、ログイン画面またはスキャン画面が表示される</x:v>
      </x:c>
      <x:c r="J8" s="54" t="str">
        <x:v>未実施</x:v>
      </x:c>
      <x:c r="K8" s="56" t="str"/>
      <x:c r="L8" s="54" t="str"/>
      <x:c r="M8" s="54" t="str"/>
      <x:c r="N8" s="54" t="str"/>
      <x:c r="O8" s="54" t="str">
        <x:v>高</x:v>
      </x:c>
      <x:c r="P8" s="52" t="str"/>
    </x:row>
    <x:row r="9" ht="54" customHeight="1">
      <x:c r="A9" s="54" t="n">
        <x:v>8</x:v>
      </x:c>
      <x:c r="B9" s="54" t="str">
        <x:v>UT-008</x:v>
      </x:c>
      <x:c r="C9" s="54" t="str">
        <x:v>単体テスト</x:v>
      </x:c>
      <x:c r="D9" s="52" t="str">
        <x:v>Android</x:v>
      </x:c>
      <x:c r="E9" s="52" t="str">
        <x:v>NfcBridgeActivity</x:v>
      </x:c>
      <x:c r="F9" s="52" t="str">
        <x:v>NFC未対応カード検出時にエラー表示できること</x:v>
      </x:c>
      <x:c r="G9" s="52" t="str">
        <x:v>IsoDep非対応カードまたは未対応タグを用意</x:v>
      </x:c>
      <x:c r="H9" s="52" t="str">
        <x:v>カードをタッチする</x:v>
      </x:c>
      <x:c r="I9" s="52" t="str">
        <x:v>画面に対応不可メッセージが表示され、アプリが落ちない</x:v>
      </x:c>
      <x:c r="J9" s="54" t="str">
        <x:v>未実施</x:v>
      </x:c>
      <x:c r="K9" s="56" t="str"/>
      <x:c r="L9" s="54" t="str"/>
      <x:c r="M9" s="54" t="str"/>
      <x:c r="N9" s="54" t="str"/>
      <x:c r="O9" s="54" t="str">
        <x:v>中</x:v>
      </x:c>
      <x:c r="P9" s="52" t="str"/>
    </x:row>
    <x:row r="10" ht="54" customHeight="1">
      <x:c r="A10" s="54" t="n">
        <x:v>9</x:v>
      </x:c>
      <x:c r="B10" s="54" t="str">
        <x:v>UT-009</x:v>
      </x:c>
      <x:c r="C10" s="54" t="str">
        <x:v>単体テスト</x:v>
      </x:c>
      <x:c r="D10" s="52" t="str">
        <x:v>Android</x:v>
      </x:c>
      <x:c r="E10" s="52" t="str">
        <x:v>NfcBridgeActivity</x:v>
      </x:c>
      <x:c r="F10" s="52" t="str">
        <x:v>カード種別不明時に処理を中断できること</x:v>
      </x:c>
      <x:c r="G10" s="52" t="str">
        <x:v>未知のISO-DEPカードを用意</x:v>
      </x:c>
      <x:c r="H10" s="52" t="str">
        <x:v>カードをタッチする</x:v>
      </x:c>
      <x:c r="I10" s="52" t="str">
        <x:v>対応カードを検出できない旨を表示し、PIN入力/読取に進まない</x:v>
      </x:c>
      <x:c r="J10" s="54" t="str">
        <x:v>未実施</x:v>
      </x:c>
      <x:c r="K10" s="56" t="str"/>
      <x:c r="L10" s="54" t="str"/>
      <x:c r="M10" s="54" t="str"/>
      <x:c r="N10" s="54" t="str"/>
      <x:c r="O10" s="54" t="str">
        <x:v>中</x:v>
      </x:c>
      <x:c r="P10" s="52" t="str"/>
    </x:row>
    <x:row r="11" ht="54" customHeight="1">
      <x:c r="A11" s="54" t="n">
        <x:v>10</x:v>
      </x:c>
      <x:c r="B11" s="54" t="str">
        <x:v>UT-010</x:v>
      </x:c>
      <x:c r="C11" s="54" t="str">
        <x:v>単体テスト</x:v>
      </x:c>
      <x:c r="D11" s="52" t="str">
        <x:v>Android</x:v>
      </x:c>
      <x:c r="E11" s="52" t="str">
        <x:v>NfcBridgeActivity</x:v>
      </x:c>
      <x:c r="F11" s="52" t="str">
        <x:v>PIN入力キャンセル時に保留情報を破棄できること</x:v>
      </x:c>
      <x:c r="G11" s="52" t="str">
        <x:v>対応カードをタッチしPINダイアログを表示</x:v>
      </x:c>
      <x:c r="H11" s="52" t="str">
        <x:v>キャンセルを押し、再度カードをタッチする</x:v>
      </x:c>
      <x:c r="I11" s="52" t="str">
        <x:v>前回カード情報が残らず、新しい読取待ちに戻る</x:v>
      </x:c>
      <x:c r="J11" s="54" t="str">
        <x:v>未実施</x:v>
      </x:c>
      <x:c r="K11" s="56" t="str"/>
      <x:c r="L11" s="54" t="str"/>
      <x:c r="M11" s="54" t="str"/>
      <x:c r="N11" s="54" t="str"/>
      <x:c r="O11" s="54" t="str">
        <x:v>中</x:v>
      </x:c>
      <x:c r="P11" s="52" t="str"/>
    </x:row>
    <x:row r="12" ht="54" customHeight="1">
      <x:c r="A12" s="54" t="n">
        <x:v>11</x:v>
      </x:c>
      <x:c r="B12" s="54" t="str">
        <x:v>UT-011</x:v>
      </x:c>
      <x:c r="C12" s="54" t="str">
        <x:v>単体テスト</x:v>
      </x:c>
      <x:c r="D12" s="52" t="str">
        <x:v>Android</x:v>
      </x:c>
      <x:c r="E12" s="52" t="str">
        <x:v>NfcBridgeActivity</x:v>
      </x:c>
      <x:c r="F12" s="52" t="str">
        <x:v>読取完了後に保留中のIsoDep/CardTypeを破棄すること</x:v>
      </x:c>
      <x:c r="G12" s="52" t="str">
        <x:v>正常読取できるカードを用意</x:v>
      </x:c>
      <x:c r="H12" s="52" t="str">
        <x:v>読取完了後、同じ画面で再度送信やキャンセルを操作する</x:v>
      </x:c>
      <x:c r="I12" s="52" t="str">
        <x:v>古いカード接続情報を再利用せず、再読取が必要になる</x:v>
      </x:c>
      <x:c r="J12" s="54" t="str">
        <x:v>未実施</x:v>
      </x:c>
      <x:c r="K12" s="56" t="str"/>
      <x:c r="L12" s="54" t="str"/>
      <x:c r="M12" s="54" t="str"/>
      <x:c r="N12" s="54" t="str"/>
      <x:c r="O12" s="54" t="str">
        <x:v>高</x:v>
      </x:c>
      <x:c r="P12" s="52" t="str"/>
    </x:row>
    <x:row r="13" ht="54" customHeight="1">
      <x:c r="A13" s="54" t="n">
        <x:v>12</x:v>
      </x:c>
      <x:c r="B13" s="54" t="str">
        <x:v>UT-012</x:v>
      </x:c>
      <x:c r="C13" s="54" t="str">
        <x:v>単体テスト</x:v>
      </x:c>
      <x:c r="D13" s="52" t="str">
        <x:v>Android</x:v>
      </x:c>
      <x:c r="E13" s="52" t="str">
        <x:v>NfcBridgeActivity JS bridge</x:v>
      </x:c>
      <x:c r="F13" s="52" t="str">
        <x:v>startScan が呼ばれても例外にならないこと</x:v>
      </x:c>
      <x:c r="G13" s="52" t="str">
        <x:v>スキャン画面を表示</x:v>
      </x:c>
      <x:c r="H13" s="52" t="str">
        <x:v>画面初期化時またはDevToolsからBridge.startScan()を呼ぶ</x:v>
      </x:c>
      <x:c r="I13" s="52" t="str">
        <x:v>例外が出ず、NFC待機状態が継続する</x:v>
      </x:c>
      <x:c r="J13" s="54" t="str">
        <x:v>未実施</x:v>
      </x:c>
      <x:c r="K13" s="56" t="str"/>
      <x:c r="L13" s="54" t="str"/>
      <x:c r="M13" s="54" t="str"/>
      <x:c r="N13" s="54" t="str"/>
      <x:c r="O13" s="54" t="str">
        <x:v>中</x:v>
      </x:c>
      <x:c r="P13" s="52" t="str"/>
    </x:row>
    <x:row r="14" ht="54" customHeight="1">
      <x:c r="A14" s="54" t="n">
        <x:v>13</x:v>
      </x:c>
      <x:c r="B14" s="54" t="str">
        <x:v>UT-013</x:v>
      </x:c>
      <x:c r="C14" s="54" t="str">
        <x:v>単体テスト</x:v>
      </x:c>
      <x:c r="D14" s="52" t="str">
        <x:v>Android</x:v>
      </x:c>
      <x:c r="E14" s="52" t="str">
        <x:v>NfcBridgeActivity JS bridge</x:v>
      </x:c>
      <x:c r="F14" s="52" t="str">
        <x:v>submitPin がUIスレッド経由で読取処理へ渡ること</x:v>
      </x:c>
      <x:c r="G14" s="52" t="str">
        <x:v>対応カード検出済み</x:v>
      </x:c>
      <x:c r="H14" s="52" t="str">
        <x:v>Web側またはネイティブダイアログから4桁PINを渡す</x:v>
      </x:c>
      <x:c r="I14" s="52" t="str">
        <x:v>読取中表示に遷移し、カードリーダ処理が開始される</x:v>
      </x:c>
      <x:c r="J14" s="54" t="str">
        <x:v>未実施</x:v>
      </x:c>
      <x:c r="K14" s="56" t="str"/>
      <x:c r="L14" s="54" t="str"/>
      <x:c r="M14" s="54" t="str"/>
      <x:c r="N14" s="54" t="str"/>
      <x:c r="O14" s="54" t="str">
        <x:v>高</x:v>
      </x:c>
      <x:c r="P14" s="52" t="str"/>
    </x:row>
    <x:row r="15" ht="54" customHeight="1">
      <x:c r="A15" s="54" t="n">
        <x:v>14</x:v>
      </x:c>
      <x:c r="B15" s="54" t="str">
        <x:v>UT-014</x:v>
      </x:c>
      <x:c r="C15" s="54" t="str">
        <x:v>単体テスト</x:v>
      </x:c>
      <x:c r="D15" s="52" t="str">
        <x:v>Android</x:v>
      </x:c>
      <x:c r="E15" s="52" t="str">
        <x:v>NfcBridgeActivity JS bridge</x:v>
      </x:c>
      <x:c r="F15" s="52" t="str">
        <x:v>cancelScan が保留情報を破棄すること</x:v>
      </x:c>
      <x:c r="G15" s="52" t="str">
        <x:v>対応カード検出済み</x:v>
      </x:c>
      <x:c r="H15" s="52" t="str">
        <x:v>Bridge.cancelScan() を呼ぶ</x:v>
      </x:c>
      <x:c r="I15" s="52" t="str">
        <x:v>保留中のカード情報が破棄され、以後submitPinしても読取されない</x:v>
      </x:c>
      <x:c r="J15" s="54" t="str">
        <x:v>未実施</x:v>
      </x:c>
      <x:c r="K15" s="56" t="str"/>
      <x:c r="L15" s="54" t="str"/>
      <x:c r="M15" s="54" t="str"/>
      <x:c r="N15" s="54" t="str"/>
      <x:c r="O15" s="54" t="str">
        <x:v>中</x:v>
      </x:c>
      <x:c r="P15" s="52" t="str"/>
    </x:row>
    <x:row r="16" ht="54" customHeight="1">
      <x:c r="A16" s="54" t="n">
        <x:v>15</x:v>
      </x:c>
      <x:c r="B16" s="54" t="str">
        <x:v>UT-015</x:v>
      </x:c>
      <x:c r="C16" s="54" t="str">
        <x:v>単体テスト</x:v>
      </x:c>
      <x:c r="D16" s="52" t="str">
        <x:v>Android NFC</x:v>
      </x:c>
      <x:c r="E16" s="52" t="str">
        <x:v>CardTypeDetector</x:v>
      </x:c>
      <x:c r="F16" s="52" t="str">
        <x:v>マイナンバーカードを識別できること</x:v>
      </x:c>
      <x:c r="G16" s="52" t="str">
        <x:v>実カードまたは検証用カードを用意</x:v>
      </x:c>
      <x:c r="H16" s="52" t="str">
        <x:v>カードをタッチする</x:v>
      </x:c>
      <x:c r="I16" s="52" t="str">
        <x:v>マイナンバーカードとしてPIN入力ダイアログが表示される</x:v>
      </x:c>
      <x:c r="J16" s="54" t="str">
        <x:v>未実施</x:v>
      </x:c>
      <x:c r="K16" s="56" t="str"/>
      <x:c r="L16" s="54" t="str"/>
      <x:c r="M16" s="54" t="str"/>
      <x:c r="N16" s="54" t="str"/>
      <x:c r="O16" s="54" t="str">
        <x:v>高</x:v>
      </x:c>
      <x:c r="P16" s="52" t="str"/>
    </x:row>
    <x:row r="17" ht="54" customHeight="1">
      <x:c r="A17" s="54" t="n">
        <x:v>16</x:v>
      </x:c>
      <x:c r="B17" s="54" t="str">
        <x:v>UT-016</x:v>
      </x:c>
      <x:c r="C17" s="54" t="str">
        <x:v>単体テスト</x:v>
      </x:c>
      <x:c r="D17" s="52" t="str">
        <x:v>Android NFC</x:v>
      </x:c>
      <x:c r="E17" s="52" t="str">
        <x:v>CardTypeDetector</x:v>
      </x:c>
      <x:c r="F17" s="52" t="str">
        <x:v>運転免許証を識別できること</x:v>
      </x:c>
      <x:c r="G17" s="52" t="str">
        <x:v>実カードまたは検証用カードを用意</x:v>
      </x:c>
      <x:c r="H17" s="52" t="str">
        <x:v>カードをタッチする</x:v>
      </x:c>
      <x:c r="I17" s="52" t="str">
        <x:v>運転免許証としてPIN入力ダイアログが表示される</x:v>
      </x:c>
      <x:c r="J17" s="54" t="str">
        <x:v>未実施</x:v>
      </x:c>
      <x:c r="K17" s="56" t="str"/>
      <x:c r="L17" s="54" t="str"/>
      <x:c r="M17" s="54" t="str"/>
      <x:c r="N17" s="54" t="str"/>
      <x:c r="O17" s="54" t="str">
        <x:v>高</x:v>
      </x:c>
      <x:c r="P17" s="52" t="str"/>
    </x:row>
    <x:row r="18" ht="54" customHeight="1">
      <x:c r="A18" s="54" t="n">
        <x:v>17</x:v>
      </x:c>
      <x:c r="B18" s="54" t="str">
        <x:v>UT-017</x:v>
      </x:c>
      <x:c r="C18" s="54" t="str">
        <x:v>単体テスト</x:v>
      </x:c>
      <x:c r="D18" s="52" t="str">
        <x:v>Android NFC</x:v>
      </x:c>
      <x:c r="E18" s="52" t="str">
        <x:v>MyNumberCardReader</x:v>
      </x:c>
      <x:c r="F18" s="52" t="str">
        <x:v>PIN未入力時に読取を拒否すること</x:v>
      </x:c>
      <x:c r="G18" s="52" t="str">
        <x:v>マイナンバーカード検出済み</x:v>
      </x:c>
      <x:c r="H18" s="52" t="str">
        <x:v>PINを空欄で読取操作する</x:v>
      </x:c>
      <x:c r="I18" s="52" t="str">
        <x:v>PIN入力を求めるエラーとなり、EF読取へ進まない</x:v>
      </x:c>
      <x:c r="J18" s="54" t="str">
        <x:v>未実施</x:v>
      </x:c>
      <x:c r="K18" s="56" t="str"/>
      <x:c r="L18" s="54" t="str"/>
      <x:c r="M18" s="54" t="str"/>
      <x:c r="N18" s="54" t="str"/>
      <x:c r="O18" s="54" t="str">
        <x:v>高</x:v>
      </x:c>
      <x:c r="P18" s="52" t="str"/>
    </x:row>
    <x:row r="19" ht="54" customHeight="1">
      <x:c r="A19" s="54" t="n">
        <x:v>18</x:v>
      </x:c>
      <x:c r="B19" s="54" t="str">
        <x:v>UT-018</x:v>
      </x:c>
      <x:c r="C19" s="54" t="str">
        <x:v>単体テスト</x:v>
      </x:c>
      <x:c r="D19" s="52" t="str">
        <x:v>Android NFC</x:v>
      </x:c>
      <x:c r="E19" s="52" t="str">
        <x:v>MyNumberCardReader</x:v>
      </x:c>
      <x:c r="F19" s="52" t="str">
        <x:v>PIN誤り時に残回数を表示できること</x:v>
      </x:c>
      <x:c r="G19" s="52" t="str">
        <x:v>マイナンバーカード検出済み</x:v>
      </x:c>
      <x:c r="H19" s="52" t="str">
        <x:v>誤った4桁PINを入力する</x:v>
      </x:c>
      <x:c r="I19" s="52" t="str">
        <x:v>残試行回数を含むエラーが表示され、取得データは返らない</x:v>
      </x:c>
      <x:c r="J19" s="54" t="str">
        <x:v>未実施</x:v>
      </x:c>
      <x:c r="K19" s="56" t="str"/>
      <x:c r="L19" s="54" t="str"/>
      <x:c r="M19" s="54" t="str"/>
      <x:c r="N19" s="54" t="str"/>
      <x:c r="O19" s="54" t="str">
        <x:v>高</x:v>
      </x:c>
      <x:c r="P19" s="52" t="str">
        <x:v>実カードのロックに注意して実施</x:v>
      </x:c>
    </x:row>
    <x:row r="20" ht="54" customHeight="1">
      <x:c r="A20" s="54" t="n">
        <x:v>19</x:v>
      </x:c>
      <x:c r="B20" s="54" t="str">
        <x:v>UT-019</x:v>
      </x:c>
      <x:c r="C20" s="54" t="str">
        <x:v>単体テスト</x:v>
      </x:c>
      <x:c r="D20" s="52" t="str">
        <x:v>Android NFC</x:v>
      </x:c>
      <x:c r="E20" s="52" t="str">
        <x:v>MyNumberCardReader</x:v>
      </x:c>
      <x:c r="F20" s="52" t="str">
        <x:v>PINブロック時に適切なエラーを返すこと</x:v>
      </x:c>
      <x:c r="G20" s="52" t="str">
        <x:v>ブロック状態の検証カードまたはモックを用意</x:v>
      </x:c>
      <x:c r="H20" s="52" t="str">
        <x:v>読取を実行する</x:v>
      </x:c>
      <x:c r="I20" s="52" t="str">
        <x:v>PINブロックのメッセージが表示され、読取を中断する</x:v>
      </x:c>
      <x:c r="J20" s="54" t="str">
        <x:v>未実施</x:v>
      </x:c>
      <x:c r="K20" s="56" t="str"/>
      <x:c r="L20" s="54" t="str"/>
      <x:c r="M20" s="54" t="str"/>
      <x:c r="N20" s="54" t="str"/>
      <x:c r="O20" s="54" t="str">
        <x:v>高</x:v>
      </x:c>
      <x:c r="P20" s="52" t="str"/>
    </x:row>
    <x:row r="21" ht="54" customHeight="1">
      <x:c r="A21" s="54" t="n">
        <x:v>20</x:v>
      </x:c>
      <x:c r="B21" s="54" t="str">
        <x:v>UT-020</x:v>
      </x:c>
      <x:c r="C21" s="54" t="str">
        <x:v>単体テスト</x:v>
      </x:c>
      <x:c r="D21" s="52" t="str">
        <x:v>Android NFC</x:v>
      </x:c>
      <x:c r="E21" s="52" t="str">
        <x:v>MyNumberCardReader</x:v>
      </x:c>
      <x:c r="F21" s="52" t="str">
        <x:v>氏名・生年月日を正常取得できること</x:v>
      </x:c>
      <x:c r="G21" s="52" t="str">
        <x:v>収集設定はデフォルト、正しいPINを用意</x:v>
      </x:c>
      <x:c r="H21" s="52" t="str">
        <x:v>マイナンバーカードを読み取る</x:v>
      </x:c>
      <x:c r="I21" s="52" t="str">
        <x:v>氏名、生年月日が確認画面へ表示される</x:v>
      </x:c>
      <x:c r="J21" s="54" t="str">
        <x:v>未実施</x:v>
      </x:c>
      <x:c r="K21" s="56" t="str"/>
      <x:c r="L21" s="54" t="str"/>
      <x:c r="M21" s="54" t="str"/>
      <x:c r="N21" s="54" t="str"/>
      <x:c r="O21" s="54" t="str">
        <x:v>高</x:v>
      </x:c>
      <x:c r="P21" s="52" t="str"/>
    </x:row>
    <x:row r="22" ht="54" customHeight="1">
      <x:c r="A22" s="54" t="n">
        <x:v>21</x:v>
      </x:c>
      <x:c r="B22" s="54" t="str">
        <x:v>UT-021</x:v>
      </x:c>
      <x:c r="C22" s="54" t="str">
        <x:v>単体テスト</x:v>
      </x:c>
      <x:c r="D22" s="52" t="str">
        <x:v>Android NFC</x:v>
      </x:c>
      <x:c r="E22" s="52" t="str">
        <x:v>MyNumberCardReader</x:v>
      </x:c>
      <x:c r="F22" s="52" t="str">
        <x:v>住所収集OFF時に住所を読まない/返さないこと</x:v>
      </x:c>
      <x:c r="G22" s="52" t="str">
        <x:v>collect_address=false のAPKを用意</x:v>
      </x:c>
      <x:c r="H22" s="52" t="str">
        <x:v>カードを読み取る</x:v>
      </x:c>
      <x:c r="I22" s="52" t="str">
        <x:v>住所が確認画面に表示されず、送信データにも含まれない</x:v>
      </x:c>
      <x:c r="J22" s="54" t="str">
        <x:v>未実施</x:v>
      </x:c>
      <x:c r="K22" s="56" t="str"/>
      <x:c r="L22" s="54" t="str"/>
      <x:c r="M22" s="54" t="str"/>
      <x:c r="N22" s="54" t="str"/>
      <x:c r="O22" s="54" t="str">
        <x:v>高</x:v>
      </x:c>
      <x:c r="P22" s="52" t="str"/>
    </x:row>
    <x:row r="23" ht="54" customHeight="1">
      <x:c r="A23" s="54" t="n">
        <x:v>22</x:v>
      </x:c>
      <x:c r="B23" s="54" t="str">
        <x:v>UT-022</x:v>
      </x:c>
      <x:c r="C23" s="54" t="str">
        <x:v>単体テスト</x:v>
      </x:c>
      <x:c r="D23" s="52" t="str">
        <x:v>Android NFC</x:v>
      </x:c>
      <x:c r="E23" s="52" t="str">
        <x:v>MyNumberCardReader</x:v>
      </x:c>
      <x:c r="F23" s="52" t="str">
        <x:v>有効期限収集OFF時に有効期限を読まない/返さないこと</x:v>
      </x:c>
      <x:c r="G23" s="52" t="str">
        <x:v>collect_expiry_date=false のAPKを用意</x:v>
      </x:c>
      <x:c r="H23" s="52" t="str">
        <x:v>カードを読み取る</x:v>
      </x:c>
      <x:c r="I23" s="52" t="str">
        <x:v>有効期限が確認画面に表示されず、送信データにも含まれない</x:v>
      </x:c>
      <x:c r="J23" s="54" t="str">
        <x:v>未実施</x:v>
      </x:c>
      <x:c r="K23" s="56" t="str"/>
      <x:c r="L23" s="54" t="str"/>
      <x:c r="M23" s="54" t="str"/>
      <x:c r="N23" s="54" t="str"/>
      <x:c r="O23" s="54" t="str">
        <x:v>中</x:v>
      </x:c>
      <x:c r="P23" s="52" t="str"/>
    </x:row>
    <x:row r="24" ht="54" customHeight="1">
      <x:c r="A24" s="54" t="n">
        <x:v>23</x:v>
      </x:c>
      <x:c r="B24" s="54" t="str">
        <x:v>UT-023</x:v>
      </x:c>
      <x:c r="C24" s="54" t="str">
        <x:v>単体テスト</x:v>
      </x:c>
      <x:c r="D24" s="52" t="str">
        <x:v>Android NFC</x:v>
      </x:c>
      <x:c r="E24" s="52" t="str">
        <x:v>MyNumberCardReader</x:v>
      </x:c>
      <x:c r="F24" s="52" t="str">
        <x:v>EF選択失敗時に空値扱いまたはエラー扱いが妥当であること</x:v>
      </x:c>
      <x:c r="G24" s="52" t="str">
        <x:v>EF読取失敗を起こす検証条件を用意</x:v>
      </x:c>
      <x:c r="H24" s="52" t="str">
        <x:v>カードを読み取る</x:v>
      </x:c>
      <x:c r="I24" s="52" t="str">
        <x:v>アプリが落ちず、仕様通りに空値または読取失敗として扱う</x:v>
      </x:c>
      <x:c r="J24" s="54" t="str">
        <x:v>未実施</x:v>
      </x:c>
      <x:c r="K24" s="56" t="str"/>
      <x:c r="L24" s="54" t="str"/>
      <x:c r="M24" s="54" t="str"/>
      <x:c r="N24" s="54" t="str"/>
      <x:c r="O24" s="54" t="str">
        <x:v>中</x:v>
      </x:c>
      <x:c r="P24" s="52" t="str"/>
    </x:row>
    <x:row r="25" ht="54" customHeight="1">
      <x:c r="A25" s="54" t="n">
        <x:v>24</x:v>
      </x:c>
      <x:c r="B25" s="54" t="str">
        <x:v>UT-024</x:v>
      </x:c>
      <x:c r="C25" s="54" t="str">
        <x:v>単体テスト</x:v>
      </x:c>
      <x:c r="D25" s="52" t="str">
        <x:v>Android NFC</x:v>
      </x:c>
      <x:c r="E25" s="52" t="str">
        <x:v>DriverLicenseReader</x:v>
      </x:c>
      <x:c r="F25" s="52" t="str">
        <x:v>PIN未入力時の扱いを確認すること</x:v>
      </x:c>
      <x:c r="G25" s="52" t="str">
        <x:v>運転免許証検出済み</x:v>
      </x:c>
      <x:c r="H25" s="52" t="str">
        <x:v>PIN空欄で読取操作する</x:v>
      </x:c>
      <x:c r="I25" s="52" t="str">
        <x:v>仕様通りに読取可否が制御され、意図しない情報取得がない</x:v>
      </x:c>
      <x:c r="J25" s="54" t="str">
        <x:v>未実施</x:v>
      </x:c>
      <x:c r="K25" s="56" t="str"/>
      <x:c r="L25" s="54" t="str"/>
      <x:c r="M25" s="54" t="str"/>
      <x:c r="N25" s="54" t="str"/>
      <x:c r="O25" s="54" t="str">
        <x:v>高</x:v>
      </x:c>
      <x:c r="P25" s="52" t="str"/>
    </x:row>
    <x:row r="26" ht="54" customHeight="1">
      <x:c r="A26" s="54" t="n">
        <x:v>25</x:v>
      </x:c>
      <x:c r="B26" s="54" t="str">
        <x:v>UT-025</x:v>
      </x:c>
      <x:c r="C26" s="54" t="str">
        <x:v>単体テスト</x:v>
      </x:c>
      <x:c r="D26" s="52" t="str">
        <x:v>Android NFC</x:v>
      </x:c>
      <x:c r="E26" s="52" t="str">
        <x:v>DriverLicenseReader</x:v>
      </x:c>
      <x:c r="F26" s="52" t="str">
        <x:v>PIN誤り時に残回数を表示できること</x:v>
      </x:c>
      <x:c r="G26" s="52" t="str">
        <x:v>運転免許証検出済み</x:v>
      </x:c>
      <x:c r="H26" s="52" t="str">
        <x:v>誤った暗証番号1を入力する</x:v>
      </x:c>
      <x:c r="I26" s="52" t="str">
        <x:v>残試行回数を含むエラーが表示され、取得データは返らない</x:v>
      </x:c>
      <x:c r="J26" s="54" t="str">
        <x:v>未実施</x:v>
      </x:c>
      <x:c r="K26" s="56" t="str"/>
      <x:c r="L26" s="54" t="str"/>
      <x:c r="M26" s="54" t="str"/>
      <x:c r="N26" s="54" t="str"/>
      <x:c r="O26" s="54" t="str">
        <x:v>高</x:v>
      </x:c>
      <x:c r="P26" s="52" t="str">
        <x:v>実カードのロックに注意して実施</x:v>
      </x:c>
    </x:row>
    <x:row r="27" ht="54" customHeight="1">
      <x:c r="A27" s="54" t="n">
        <x:v>26</x:v>
      </x:c>
      <x:c r="B27" s="54" t="str">
        <x:v>UT-026</x:v>
      </x:c>
      <x:c r="C27" s="54" t="str">
        <x:v>単体テスト</x:v>
      </x:c>
      <x:c r="D27" s="52" t="str">
        <x:v>Android NFC</x:v>
      </x:c>
      <x:c r="E27" s="52" t="str">
        <x:v>DriverLicenseReader</x:v>
      </x:c>
      <x:c r="F27" s="52" t="str">
        <x:v>氏名・生年月日・住所を正常取得できること</x:v>
      </x:c>
      <x:c r="G27" s="52" t="str">
        <x:v>正しい暗証番号1を用意</x:v>
      </x:c>
      <x:c r="H27" s="52" t="str">
        <x:v>運転免許証を読み取る</x:v>
      </x:c>
      <x:c r="I27" s="52" t="str">
        <x:v>対象項目が確認画面へ表示される</x:v>
      </x:c>
      <x:c r="J27" s="54" t="str">
        <x:v>未実施</x:v>
      </x:c>
      <x:c r="K27" s="56" t="str"/>
      <x:c r="L27" s="54" t="str"/>
      <x:c r="M27" s="54" t="str"/>
      <x:c r="N27" s="54" t="str"/>
      <x:c r="O27" s="54" t="str">
        <x:v>高</x:v>
      </x:c>
      <x:c r="P27" s="52" t="str"/>
    </x:row>
    <x:row r="28" ht="54" customHeight="1">
      <x:c r="A28" s="54" t="n">
        <x:v>27</x:v>
      </x:c>
      <x:c r="B28" s="54" t="str">
        <x:v>UT-027</x:v>
      </x:c>
      <x:c r="C28" s="54" t="str">
        <x:v>単体テスト</x:v>
      </x:c>
      <x:c r="D28" s="52" t="str">
        <x:v>Android NFC</x:v>
      </x:c>
      <x:c r="E28" s="52" t="str">
        <x:v>DriverLicenseReader</x:v>
      </x:c>
      <x:c r="F28" s="52" t="str">
        <x:v>免許証番号収集OFF時に番号を読まない/返さないこと</x:v>
      </x:c>
      <x:c r="G28" s="52" t="str">
        <x:v>collect_license_number=false</x:v>
      </x:c>
      <x:c r="H28" s="52" t="str">
        <x:v>運転免許証を読み取る</x:v>
      </x:c>
      <x:c r="I28" s="52" t="str">
        <x:v>免許証番号が確認画面に表示されず、送信データにも含まれない</x:v>
      </x:c>
      <x:c r="J28" s="54" t="str">
        <x:v>未実施</x:v>
      </x:c>
      <x:c r="K28" s="56" t="str"/>
      <x:c r="L28" s="54" t="str"/>
      <x:c r="M28" s="54" t="str"/>
      <x:c r="N28" s="54" t="str"/>
      <x:c r="O28" s="54" t="str">
        <x:v>高</x:v>
      </x:c>
      <x:c r="P28" s="52" t="str"/>
    </x:row>
    <x:row r="29" ht="54" customHeight="1">
      <x:c r="A29" s="54" t="n">
        <x:v>28</x:v>
      </x:c>
      <x:c r="B29" s="54" t="str">
        <x:v>UT-028</x:v>
      </x:c>
      <x:c r="C29" s="54" t="str">
        <x:v>単体テスト</x:v>
      </x:c>
      <x:c r="D29" s="52" t="str">
        <x:v>Android NFC</x:v>
      </x:c>
      <x:c r="E29" s="52" t="str">
        <x:v>DriverLicenseReader</x:v>
      </x:c>
      <x:c r="F29" s="52" t="str">
        <x:v>免許の種類を正常変換できること</x:v>
      </x:c>
      <x:c r="G29" s="52" t="str">
        <x:v>免許種別を持つカードを用意</x:v>
      </x:c>
      <x:c r="H29" s="52" t="str">
        <x:v>運転免許証を読み取る</x:v>
      </x:c>
      <x:c r="I29" s="52" t="str">
        <x:v>普通・準中型などの表示が仕様通りになる</x:v>
      </x:c>
      <x:c r="J29" s="54" t="str">
        <x:v>未実施</x:v>
      </x:c>
      <x:c r="K29" s="56" t="str"/>
      <x:c r="L29" s="54" t="str"/>
      <x:c r="M29" s="54" t="str"/>
      <x:c r="N29" s="54" t="str"/>
      <x:c r="O29" s="54" t="str">
        <x:v>中</x:v>
      </x:c>
      <x:c r="P29" s="52" t="str"/>
    </x:row>
    <x:row r="30" ht="54" customHeight="1">
      <x:c r="A30" s="54" t="n">
        <x:v>29</x:v>
      </x:c>
      <x:c r="B30" s="54" t="str">
        <x:v>UT-029</x:v>
      </x:c>
      <x:c r="C30" s="54" t="str">
        <x:v>単体テスト</x:v>
      </x:c>
      <x:c r="D30" s="52" t="str">
        <x:v>Android NFC</x:v>
      </x:c>
      <x:c r="E30" s="52" t="str">
        <x:v>DriverLicenseReader</x:v>
      </x:c>
      <x:c r="F30" s="52" t="str">
        <x:v>読取失敗時にアプリが復帰できること</x:v>
      </x:c>
      <x:c r="G30" s="52" t="str">
        <x:v>カードを途中で離す</x:v>
      </x:c>
      <x:c r="H30" s="52" t="str">
        <x:v>読取中にカードを離す</x:v>
      </x:c>
      <x:c r="I30" s="52" t="str">
        <x:v>エラー表示後、再度カード待機画面へ戻る</x:v>
      </x:c>
      <x:c r="J30" s="54" t="str">
        <x:v>未実施</x:v>
      </x:c>
      <x:c r="K30" s="56" t="str"/>
      <x:c r="L30" s="54" t="str"/>
      <x:c r="M30" s="54" t="str"/>
      <x:c r="N30" s="54" t="str"/>
      <x:c r="O30" s="54" t="str">
        <x:v>高</x:v>
      </x:c>
      <x:c r="P30" s="52" t="str"/>
    </x:row>
    <x:row r="31" ht="54" customHeight="1">
      <x:c r="A31" s="54" t="n">
        <x:v>30</x:v>
      </x:c>
      <x:c r="B31" s="54" t="str">
        <x:v>UT-030</x:v>
      </x:c>
      <x:c r="C31" s="54" t="str">
        <x:v>単体テスト</x:v>
      </x:c>
      <x:c r="D31" s="52" t="str">
        <x:v>Laravel 認証</x:v>
      </x:c>
      <x:c r="E31" s="52" t="str">
        <x:v>LoginController</x:v>
      </x:c>
      <x:c r="F31" s="52" t="str">
        <x:v>社員番号・パスワード必須チェックが動作すること</x:v>
      </x:c>
      <x:c r="G31" s="52" t="str">
        <x:v>ログイン画面を表示</x:v>
      </x:c>
      <x:c r="H31" s="52" t="str">
        <x:v>空欄でログインボタンを押す</x:v>
      </x:c>
      <x:c r="I31" s="52" t="str">
        <x:v>バリデーションエラーとなりログインしない</x:v>
      </x:c>
      <x:c r="J31" s="54" t="str">
        <x:v>未実施</x:v>
      </x:c>
      <x:c r="K31" s="56" t="str"/>
      <x:c r="L31" s="54" t="str"/>
      <x:c r="M31" s="54" t="str"/>
      <x:c r="N31" s="54" t="str"/>
      <x:c r="O31" s="54" t="str">
        <x:v>高</x:v>
      </x:c>
      <x:c r="P31" s="52" t="str"/>
    </x:row>
    <x:row r="32" ht="54" customHeight="1">
      <x:c r="A32" s="54" t="n">
        <x:v>31</x:v>
      </x:c>
      <x:c r="B32" s="54" t="str">
        <x:v>UT-031</x:v>
      </x:c>
      <x:c r="C32" s="54" t="str">
        <x:v>単体テスト</x:v>
      </x:c>
      <x:c r="D32" s="52" t="str">
        <x:v>Laravel 認証</x:v>
      </x:c>
      <x:c r="E32" s="52" t="str">
        <x:v>LoginController</x:v>
      </x:c>
      <x:c r="F32" s="52" t="str">
        <x:v>正しい認証情報でログインできること</x:v>
      </x:c>
      <x:c r="G32" s="52" t="str">
        <x:v>有効ユーザーをDBに登録</x:v>
      </x:c>
      <x:c r="H32" s="52" t="str">
        <x:v>社員番号・パスワードを入力してログイン</x:v>
      </x:c>
      <x:c r="I32" s="52" t="str">
        <x:v>セッションが生成され、スキャン画面へ遷移する</x:v>
      </x:c>
      <x:c r="J32" s="54" t="str">
        <x:v>未実施</x:v>
      </x:c>
      <x:c r="K32" s="56" t="str"/>
      <x:c r="L32" s="54" t="str"/>
      <x:c r="M32" s="54" t="str"/>
      <x:c r="N32" s="54" t="str"/>
      <x:c r="O32" s="54" t="str">
        <x:v>高</x:v>
      </x:c>
      <x:c r="P32" s="52" t="str"/>
    </x:row>
    <x:row r="33" ht="54" customHeight="1">
      <x:c r="A33" s="54" t="n">
        <x:v>32</x:v>
      </x:c>
      <x:c r="B33" s="54" t="str">
        <x:v>UT-032</x:v>
      </x:c>
      <x:c r="C33" s="54" t="str">
        <x:v>単体テスト</x:v>
      </x:c>
      <x:c r="D33" s="52" t="str">
        <x:v>Laravel 認証</x:v>
      </x:c>
      <x:c r="E33" s="52" t="str">
        <x:v>LoginController</x:v>
      </x:c>
      <x:c r="F33" s="52" t="str">
        <x:v>誤った認証情報でログイン拒否されること</x:v>
      </x:c>
      <x:c r="G33" s="52" t="str">
        <x:v>ログイン画面を表示</x:v>
      </x:c>
      <x:c r="H33" s="52" t="str">
        <x:v>誤パスワードでログイン</x:v>
      </x:c>
      <x:c r="I33" s="52" t="str">
        <x:v>エラーメッセージが表示され、認証状態にならない</x:v>
      </x:c>
      <x:c r="J33" s="54" t="str">
        <x:v>未実施</x:v>
      </x:c>
      <x:c r="K33" s="56" t="str"/>
      <x:c r="L33" s="54" t="str"/>
      <x:c r="M33" s="54" t="str"/>
      <x:c r="N33" s="54" t="str"/>
      <x:c r="O33" s="54" t="str">
        <x:v>高</x:v>
      </x:c>
      <x:c r="P33" s="52" t="str"/>
    </x:row>
    <x:row r="34" ht="54" customHeight="1">
      <x:c r="A34" s="54" t="n">
        <x:v>33</x:v>
      </x:c>
      <x:c r="B34" s="54" t="str">
        <x:v>UT-033</x:v>
      </x:c>
      <x:c r="C34" s="54" t="str">
        <x:v>単体テスト</x:v>
      </x:c>
      <x:c r="D34" s="52" t="str">
        <x:v>Laravel 認証</x:v>
      </x:c>
      <x:c r="E34" s="52" t="str">
        <x:v>LoginController</x:v>
      </x:c>
      <x:c r="F34" s="52" t="str">
        <x:v>無効ユーザーはログインできないこと</x:v>
      </x:c>
      <x:c r="G34" s="52" t="str">
        <x:v>is_active=false のユーザーを用意</x:v>
      </x:c>
      <x:c r="H34" s="52" t="str">
        <x:v>正しいパスワードでログイン</x:v>
      </x:c>
      <x:c r="I34" s="52" t="str">
        <x:v>無効アカウントとして拒否される</x:v>
      </x:c>
      <x:c r="J34" s="54" t="str">
        <x:v>未実施</x:v>
      </x:c>
      <x:c r="K34" s="56" t="str"/>
      <x:c r="L34" s="54" t="str"/>
      <x:c r="M34" s="54" t="str"/>
      <x:c r="N34" s="54" t="str"/>
      <x:c r="O34" s="54" t="str">
        <x:v>高</x:v>
      </x:c>
      <x:c r="P34" s="52" t="str"/>
    </x:row>
    <x:row r="35" ht="54" customHeight="1">
      <x:c r="A35" s="54" t="n">
        <x:v>34</x:v>
      </x:c>
      <x:c r="B35" s="54" t="str">
        <x:v>UT-034</x:v>
      </x:c>
      <x:c r="C35" s="54" t="str">
        <x:v>単体テスト</x:v>
      </x:c>
      <x:c r="D35" s="52" t="str">
        <x:v>Laravel 認証</x:v>
      </x:c>
      <x:c r="E35" s="52" t="str">
        <x:v>LoginController</x:v>
      </x:c>
      <x:c r="F35" s="52" t="str">
        <x:v>ログイン成功時にセッションIDが再生成されること</x:v>
      </x:c>
      <x:c r="G35" s="52" t="str">
        <x:v>ログイン前のセッションIDを確認可能にする</x:v>
      </x:c>
      <x:c r="H35" s="52" t="str">
        <x:v>ログイン処理を行う</x:v>
      </x:c>
      <x:c r="I35" s="52" t="str">
        <x:v>ログイン前後でセッションIDが変わる</x:v>
      </x:c>
      <x:c r="J35" s="54" t="str">
        <x:v>未実施</x:v>
      </x:c>
      <x:c r="K35" s="56" t="str"/>
      <x:c r="L35" s="54" t="str"/>
      <x:c r="M35" s="54" t="str"/>
      <x:c r="N35" s="54" t="str"/>
      <x:c r="O35" s="54" t="str">
        <x:v>高</x:v>
      </x:c>
      <x:c r="P35" s="52" t="str"/>
    </x:row>
    <x:row r="36" ht="54" customHeight="1">
      <x:c r="A36" s="54" t="n">
        <x:v>35</x:v>
      </x:c>
      <x:c r="B36" s="54" t="str">
        <x:v>UT-035</x:v>
      </x:c>
      <x:c r="C36" s="54" t="str">
        <x:v>単体テスト</x:v>
      </x:c>
      <x:c r="D36" s="52" t="str">
        <x:v>Laravel 認証</x:v>
      </x:c>
      <x:c r="E36" s="52" t="str">
        <x:v>LoginController</x:v>
      </x:c>
      <x:c r="F36" s="52" t="str">
        <x:v>ログアウト時にセッションが無効化されること</x:v>
      </x:c>
      <x:c r="G36" s="52" t="str">
        <x:v>ログイン済み</x:v>
      </x:c>
      <x:c r="H36" s="52" t="str">
        <x:v>ログアウトボタンを押し、保護ページへアクセス</x:v>
      </x:c>
      <x:c r="I36" s="52" t="str">
        <x:v>ログイン画面へ戻され、旧セッションでAPI利用できない</x:v>
      </x:c>
      <x:c r="J36" s="54" t="str">
        <x:v>未実施</x:v>
      </x:c>
      <x:c r="K36" s="56" t="str"/>
      <x:c r="L36" s="54" t="str"/>
      <x:c r="M36" s="54" t="str"/>
      <x:c r="N36" s="54" t="str"/>
      <x:c r="O36" s="54" t="str">
        <x:v>高</x:v>
      </x:c>
      <x:c r="P36" s="52" t="str"/>
    </x:row>
    <x:row r="37" ht="54" customHeight="1">
      <x:c r="A37" s="54" t="n">
        <x:v>36</x:v>
      </x:c>
      <x:c r="B37" s="54" t="str">
        <x:v>UT-036</x:v>
      </x:c>
      <x:c r="C37" s="54" t="str">
        <x:v>単体テスト</x:v>
      </x:c>
      <x:c r="D37" s="52" t="str">
        <x:v>Laravel API</x:v>
      </x:c>
      <x:c r="E37" s="52" t="str">
        <x:v>CardController.submit</x:v>
      </x:c>
      <x:c r="F37" s="52" t="str">
        <x:v>必須項目不足時に登録拒否されること</x:v>
      </x:c>
      <x:c r="G37" s="52" t="str">
        <x:v>ログイン済み</x:v>
      </x:c>
      <x:c r="H37" s="52" t="str">
        <x:v>name または date_of_birth を欠落させてPOSTする</x:v>
      </x:c>
      <x:c r="I37" s="52" t="str">
        <x:v>422エラーとなり、DBに登録されない</x:v>
      </x:c>
      <x:c r="J37" s="54" t="str">
        <x:v>未実施</x:v>
      </x:c>
      <x:c r="K37" s="56" t="str"/>
      <x:c r="L37" s="54" t="str"/>
      <x:c r="M37" s="54" t="str"/>
      <x:c r="N37" s="54" t="str"/>
      <x:c r="O37" s="54" t="str">
        <x:v>高</x:v>
      </x:c>
      <x:c r="P37" s="52" t="str"/>
    </x:row>
    <x:row r="38" ht="54" customHeight="1">
      <x:c r="A38" s="54" t="n">
        <x:v>37</x:v>
      </x:c>
      <x:c r="B38" s="54" t="str">
        <x:v>UT-037</x:v>
      </x:c>
      <x:c r="C38" s="54" t="str">
        <x:v>単体テスト</x:v>
      </x:c>
      <x:c r="D38" s="52" t="str">
        <x:v>Laravel API</x:v>
      </x:c>
      <x:c r="E38" s="52" t="str">
        <x:v>CardController.submit</x:v>
      </x:c>
      <x:c r="F38" s="52" t="str">
        <x:v>カード種別不正時に登録拒否されること</x:v>
      </x:c>
      <x:c r="G38" s="52" t="str">
        <x:v>ログイン済み</x:v>
      </x:c>
      <x:c r="H38" s="52" t="str">
        <x:v>card_type に不正値を指定してPOSTする</x:v>
      </x:c>
      <x:c r="I38" s="52" t="str">
        <x:v>422エラーとなり、DBに登録されない</x:v>
      </x:c>
      <x:c r="J38" s="54" t="str">
        <x:v>未実施</x:v>
      </x:c>
      <x:c r="K38" s="56" t="str"/>
      <x:c r="L38" s="54" t="str"/>
      <x:c r="M38" s="54" t="str"/>
      <x:c r="N38" s="54" t="str"/>
      <x:c r="O38" s="54" t="str">
        <x:v>高</x:v>
      </x:c>
      <x:c r="P38" s="52" t="str"/>
    </x:row>
    <x:row r="39" ht="54" customHeight="1">
      <x:c r="A39" s="54" t="n">
        <x:v>38</x:v>
      </x:c>
      <x:c r="B39" s="54" t="str">
        <x:v>UT-038</x:v>
      </x:c>
      <x:c r="C39" s="54" t="str">
        <x:v>単体テスト</x:v>
      </x:c>
      <x:c r="D39" s="52" t="str">
        <x:v>Laravel API</x:v>
      </x:c>
      <x:c r="E39" s="52" t="str">
        <x:v>CardController.submit</x:v>
      </x:c>
      <x:c r="F39" s="52" t="str">
        <x:v>ログインユーザーIDが自動付与されること</x:v>
      </x:c>
      <x:c r="G39" s="52" t="str">
        <x:v>ユーザーAでログイン済み</x:v>
      </x:c>
      <x:c r="H39" s="52" t="str">
        <x:v>正常なカードデータをPOSTする</x:v>
      </x:c>
      <x:c r="I39" s="52" t="str">
        <x:v>DBのuser_idがユーザーAのIDになり、クライアント指定値に依存しない</x:v>
      </x:c>
      <x:c r="J39" s="54" t="str">
        <x:v>未実施</x:v>
      </x:c>
      <x:c r="K39" s="56" t="str"/>
      <x:c r="L39" s="54" t="str"/>
      <x:c r="M39" s="54" t="str"/>
      <x:c r="N39" s="54" t="str"/>
      <x:c r="O39" s="54" t="str">
        <x:v>高</x:v>
      </x:c>
      <x:c r="P39" s="52" t="str"/>
    </x:row>
    <x:row r="40" ht="54" customHeight="1">
      <x:c r="A40" s="54" t="n">
        <x:v>39</x:v>
      </x:c>
      <x:c r="B40" s="54" t="str">
        <x:v>UT-039</x:v>
      </x:c>
      <x:c r="C40" s="54" t="str">
        <x:v>単体テスト</x:v>
      </x:c>
      <x:c r="D40" s="52" t="str">
        <x:v>Laravel API</x:v>
      </x:c>
      <x:c r="E40" s="52" t="str">
        <x:v>CardController.submit</x:v>
      </x:c>
      <x:c r="F40" s="52" t="str">
        <x:v>最大文字数超過を拒否すること</x:v>
      </x:c>
      <x:c r="G40" s="52" t="str">
        <x:v>ログイン済み</x:v>
      </x:c>
      <x:c r="H40" s="52" t="str">
        <x:v>氏名/住所などに上限超過文字列を指定する</x:v>
      </x:c>
      <x:c r="I40" s="52" t="str">
        <x:v>422エラーとなり、DBに登録されない</x:v>
      </x:c>
      <x:c r="J40" s="54" t="str">
        <x:v>未実施</x:v>
      </x:c>
      <x:c r="K40" s="56" t="str"/>
      <x:c r="L40" s="54" t="str"/>
      <x:c r="M40" s="54" t="str"/>
      <x:c r="N40" s="54" t="str"/>
      <x:c r="O40" s="54" t="str">
        <x:v>中</x:v>
      </x:c>
      <x:c r="P40" s="52" t="str"/>
    </x:row>
    <x:row r="41" ht="54" customHeight="1">
      <x:c r="A41" s="54" t="n">
        <x:v>40</x:v>
      </x:c>
      <x:c r="B41" s="54" t="str">
        <x:v>UT-040</x:v>
      </x:c>
      <x:c r="C41" s="54" t="str">
        <x:v>単体テスト</x:v>
      </x:c>
      <x:c r="D41" s="52" t="str">
        <x:v>Laravel API</x:v>
      </x:c>
      <x:c r="E41" s="52" t="str">
        <x:v>CardController.records</x:v>
      </x:c>
      <x:c r="F41" s="52" t="str">
        <x:v>自分の登録データのみ取得できること</x:v>
      </x:c>
      <x:c r="G41" s="52" t="str">
        <x:v>ユーザーA/Bのデータを作成</x:v>
      </x:c>
      <x:c r="H41" s="52" t="str">
        <x:v>ユーザーAで /api/records を呼ぶ</x:v>
      </x:c>
      <x:c r="I41" s="52" t="str">
        <x:v>ユーザーAのデータのみ返る</x:v>
      </x:c>
      <x:c r="J41" s="54" t="str">
        <x:v>未実施</x:v>
      </x:c>
      <x:c r="K41" s="56" t="str"/>
      <x:c r="L41" s="54" t="str"/>
      <x:c r="M41" s="54" t="str"/>
      <x:c r="N41" s="54" t="str"/>
      <x:c r="O41" s="54" t="str">
        <x:v>高</x:v>
      </x:c>
      <x:c r="P41" s="52" t="str"/>
    </x:row>
    <x:row r="42" ht="54" customHeight="1">
      <x:c r="A42" s="54" t="n">
        <x:v>41</x:v>
      </x:c>
      <x:c r="B42" s="54" t="str">
        <x:v>UT-041</x:v>
      </x:c>
      <x:c r="C42" s="54" t="str">
        <x:v>単体テスト</x:v>
      </x:c>
      <x:c r="D42" s="52" t="str">
        <x:v>Laravel API</x:v>
      </x:c>
      <x:c r="E42" s="52" t="str">
        <x:v>CardController.records</x:v>
      </x:c>
      <x:c r="F42" s="52" t="str">
        <x:v>検索条件のLIKEエスケープが効くこと</x:v>
      </x:c>
      <x:c r="G42" s="52" t="str">
        <x:v>% や _ を含むデータを登録</x:v>
      </x:c>
      <x:c r="H42" s="52" t="str">
        <x:v>q に %, _, \ を含めて検索する</x:v>
      </x:c>
      <x:c r="I42" s="52" t="str">
        <x:v>意図しない全件一致が起きず、検索結果が妥当である</x:v>
      </x:c>
      <x:c r="J42" s="54" t="str">
        <x:v>未実施</x:v>
      </x:c>
      <x:c r="K42" s="56" t="str"/>
      <x:c r="L42" s="54" t="str"/>
      <x:c r="M42" s="54" t="str"/>
      <x:c r="N42" s="54" t="str"/>
      <x:c r="O42" s="54" t="str">
        <x:v>中</x:v>
      </x:c>
      <x:c r="P42" s="52" t="str"/>
    </x:row>
    <x:row r="43" ht="54" customHeight="1">
      <x:c r="A43" s="54" t="n">
        <x:v>42</x:v>
      </x:c>
      <x:c r="B43" s="54" t="str">
        <x:v>UT-042</x:v>
      </x:c>
      <x:c r="C43" s="54" t="str">
        <x:v>単体テスト</x:v>
      </x:c>
      <x:c r="D43" s="52" t="str">
        <x:v>Laravel API</x:v>
      </x:c>
      <x:c r="E43" s="52" t="str">
        <x:v>CardController.records</x:v>
      </x:c>
      <x:c r="F43" s="52" t="str">
        <x:v>一覧上限200件が適用されること</x:v>
      </x:c>
      <x:c r="G43" s="52" t="str">
        <x:v>同一ユーザーで201件以上登録</x:v>
      </x:c>
      <x:c r="H43" s="52" t="str">
        <x:v>/api/records を呼ぶ</x:v>
      </x:c>
      <x:c r="I43" s="52" t="str">
        <x:v>rows は最大200件、total は総件数を返す</x:v>
      </x:c>
      <x:c r="J43" s="54" t="str">
        <x:v>未実施</x:v>
      </x:c>
      <x:c r="K43" s="56" t="str"/>
      <x:c r="L43" s="54" t="str"/>
      <x:c r="M43" s="54" t="str"/>
      <x:c r="N43" s="54" t="str"/>
      <x:c r="O43" s="54" t="str">
        <x:v>中</x:v>
      </x:c>
      <x:c r="P43" s="52" t="str"/>
    </x:row>
    <x:row r="44" ht="54" customHeight="1">
      <x:c r="A44" s="54" t="n">
        <x:v>43</x:v>
      </x:c>
      <x:c r="B44" s="54" t="str">
        <x:v>UT-043</x:v>
      </x:c>
      <x:c r="C44" s="54" t="str">
        <x:v>単体テスト</x:v>
      </x:c>
      <x:c r="D44" s="52" t="str">
        <x:v>Laravel API</x:v>
      </x:c>
      <x:c r="E44" s="52" t="str">
        <x:v>ConfigController.show</x:v>
      </x:c>
      <x:c r="F44" s="52" t="str">
        <x:v>設定未登録時にデフォルト値を返すこと</x:v>
      </x:c>
      <x:c r="G44" s="52" t="str">
        <x:v>settings テーブルを空にする</x:v>
      </x:c>
      <x:c r="H44" s="52" t="str">
        <x:v>/api/config をGETする</x:v>
      </x:c>
      <x:c r="I44" s="52" t="str">
        <x:v>デフォルト設定が返る。番号収集項目は false である</x:v>
      </x:c>
      <x:c r="J44" s="54" t="str">
        <x:v>未実施</x:v>
      </x:c>
      <x:c r="K44" s="56" t="str"/>
      <x:c r="L44" s="54" t="str"/>
      <x:c r="M44" s="54" t="str"/>
      <x:c r="N44" s="54" t="str"/>
      <x:c r="O44" s="54" t="str">
        <x:v>高</x:v>
      </x:c>
      <x:c r="P44" s="52" t="str"/>
    </x:row>
    <x:row r="45" ht="54" customHeight="1">
      <x:c r="A45" s="54" t="n">
        <x:v>44</x:v>
      </x:c>
      <x:c r="B45" s="54" t="str">
        <x:v>UT-044</x:v>
      </x:c>
      <x:c r="C45" s="54" t="str">
        <x:v>単体テスト</x:v>
      </x:c>
      <x:c r="D45" s="52" t="str">
        <x:v>Laravel API</x:v>
      </x:c>
      <x:c r="E45" s="52" t="str">
        <x:v>ConfigController.update</x:v>
      </x:c>
      <x:c r="F45" s="52" t="str">
        <x:v>許可された項目だけ更新できること</x:v>
      </x:c>
      <x:c r="G45" s="52" t="str">
        <x:v>ログイン済み</x:v>
      </x:c>
      <x:c r="H45" s="52" t="str">
        <x:v>fields に定義済みキーと未定義キーを混在させPUTする</x:v>
      </x:c>
      <x:c r="I45" s="52" t="str">
        <x:v>定義済みキーのみ保存され、未定義キーは無視される</x:v>
      </x:c>
      <x:c r="J45" s="54" t="str">
        <x:v>未実施</x:v>
      </x:c>
      <x:c r="K45" s="56" t="str"/>
      <x:c r="L45" s="54" t="str"/>
      <x:c r="M45" s="54" t="str"/>
      <x:c r="N45" s="54" t="str"/>
      <x:c r="O45" s="54" t="str">
        <x:v>中</x:v>
      </x:c>
      <x:c r="P45" s="52" t="str"/>
    </x:row>
    <x:row r="46" ht="54" customHeight="1">
      <x:c r="A46" s="54" t="n">
        <x:v>45</x:v>
      </x:c>
      <x:c r="B46" s="54" t="str">
        <x:v>UT-045</x:v>
      </x:c>
      <x:c r="C46" s="54" t="str">
        <x:v>単体テスト</x:v>
      </x:c>
      <x:c r="D46" s="52" t="str">
        <x:v>Laravel API</x:v>
      </x:c>
      <x:c r="E46" s="52" t="str">
        <x:v>ConfigController.update</x:v>
      </x:c>
      <x:c r="F46" s="52" t="str">
        <x:v>boolean以外の設定値を拒否すること</x:v>
      </x:c>
      <x:c r="G46" s="52" t="str">
        <x:v>ログイン済み</x:v>
      </x:c>
      <x:c r="H46" s="52" t="str">
        <x:v>fields.collect_address に文字列等を指定してPUTする</x:v>
      </x:c>
      <x:c r="I46" s="52" t="str">
        <x:v>422エラーまたは仕様通りの拒否となる</x:v>
      </x:c>
      <x:c r="J46" s="54" t="str">
        <x:v>未実施</x:v>
      </x:c>
      <x:c r="K46" s="56" t="str"/>
      <x:c r="L46" s="54" t="str"/>
      <x:c r="M46" s="54" t="str"/>
      <x:c r="N46" s="54" t="str"/>
      <x:c r="O46" s="54" t="str">
        <x:v>中</x:v>
      </x:c>
      <x:c r="P46" s="52" t="str"/>
    </x:row>
    <x:row r="47" ht="54" customHeight="1">
      <x:c r="A47" s="54" t="n">
        <x:v>46</x:v>
      </x:c>
      <x:c r="B47" s="54" t="str">
        <x:v>UT-046</x:v>
      </x:c>
      <x:c r="C47" s="54" t="str">
        <x:v>単体テスト</x:v>
      </x:c>
      <x:c r="D47" s="52" t="str">
        <x:v>Laravel Model</x:v>
      </x:c>
      <x:c r="E47" s="52" t="str">
        <x:v>User</x:v>
      </x:c>
      <x:c r="F47" s="52" t="str">
        <x:v>password が隠蔽されること</x:v>
      </x:c>
      <x:c r="G47" s="52" t="str">
        <x:v>ユーザー情報をJSON化可能な状態</x:v>
      </x:c>
      <x:c r="H47" s="52" t="str">
        <x:v>/api/me またはモデルJSONを確認する</x:v>
      </x:c>
      <x:c r="I47" s="52" t="str">
        <x:v>password、remember_token がレスポンスに含まれない</x:v>
      </x:c>
      <x:c r="J47" s="54" t="str">
        <x:v>未実施</x:v>
      </x:c>
      <x:c r="K47" s="56" t="str"/>
      <x:c r="L47" s="54" t="str"/>
      <x:c r="M47" s="54" t="str"/>
      <x:c r="N47" s="54" t="str"/>
      <x:c r="O47" s="54" t="str">
        <x:v>高</x:v>
      </x:c>
      <x:c r="P47" s="52" t="str"/>
    </x:row>
    <x:row r="48" ht="54" customHeight="1">
      <x:c r="A48" s="54" t="n">
        <x:v>47</x:v>
      </x:c>
      <x:c r="B48" s="54" t="str">
        <x:v>UT-047</x:v>
      </x:c>
      <x:c r="C48" s="54" t="str">
        <x:v>単体テスト</x:v>
      </x:c>
      <x:c r="D48" s="52" t="str">
        <x:v>Laravel Model</x:v>
      </x:c>
      <x:c r="E48" s="52" t="str">
        <x:v>CardRecord</x:v>
      </x:c>
      <x:c r="F48" s="52" t="str">
        <x:v>保存対象列が仕様通りであること</x:v>
      </x:c>
      <x:c r="G48" s="52" t="str">
        <x:v>カード登録処理を実行</x:v>
      </x:c>
      <x:c r="H48" s="52" t="str">
        <x:v>card_records の列/保存値を確認する</x:v>
      </x:c>
      <x:c r="I48" s="52" t="str">
        <x:v>マイナンバー/免許証番号の列が存在せず、保存されない</x:v>
      </x:c>
      <x:c r="J48" s="54" t="str">
        <x:v>未実施</x:v>
      </x:c>
      <x:c r="K48" s="56" t="str"/>
      <x:c r="L48" s="54" t="str"/>
      <x:c r="M48" s="54" t="str"/>
      <x:c r="N48" s="54" t="str"/>
      <x:c r="O48" s="54" t="str">
        <x:v>高</x:v>
      </x:c>
      <x:c r="P48" s="52" t="str"/>
    </x:row>
    <x:row r="49" ht="54" customHeight="1">
      <x:c r="A49" s="54" t="n">
        <x:v>48</x:v>
      </x:c>
      <x:c r="B49" s="54" t="str">
        <x:v>UT-048</x:v>
      </x:c>
      <x:c r="C49" s="54" t="str">
        <x:v>単体テスト</x:v>
      </x:c>
      <x:c r="D49" s="52" t="str">
        <x:v>Web UI</x:v>
      </x:c>
      <x:c r="E49" s="52" t="str">
        <x:v>scan.blade.php</x:v>
      </x:c>
      <x:c r="F49" s="52" t="str">
        <x:v>確認画面でHTMLエスケープされること</x:v>
      </x:c>
      <x:c r="G49" s="52" t="str">
        <x:v>氏名/住所にHTMLタグ相当の文字列を含むモックを用意</x:v>
      </x:c>
      <x:c r="H49" s="52" t="str">
        <x:v>確認画面を表示する</x:v>
      </x:c>
      <x:c r="I49" s="52" t="str">
        <x:v>タグが実行されず、文字列として表示される</x:v>
      </x:c>
      <x:c r="J49" s="54" t="str">
        <x:v>未実施</x:v>
      </x:c>
      <x:c r="K49" s="56" t="str"/>
      <x:c r="L49" s="54" t="str"/>
      <x:c r="M49" s="54" t="str"/>
      <x:c r="N49" s="54" t="str"/>
      <x:c r="O49" s="54" t="str">
        <x:v>高</x:v>
      </x:c>
      <x:c r="P49" s="52" t="str"/>
    </x:row>
    <x:row r="50" ht="54" customHeight="1">
      <x:c r="A50" s="54" t="n">
        <x:v>49</x:v>
      </x:c>
      <x:c r="B50" s="54" t="str">
        <x:v>UT-049</x:v>
      </x:c>
      <x:c r="C50" s="54" t="str">
        <x:v>単体テスト</x:v>
      </x:c>
      <x:c r="D50" s="52" t="str">
        <x:v>Web UI</x:v>
      </x:c>
      <x:c r="E50" s="52" t="str">
        <x:v>records.blade.php</x:v>
      </x:c>
      <x:c r="F50" s="52" t="str">
        <x:v>一覧・詳細でHTMLエスケープされること</x:v>
      </x:c>
      <x:c r="G50" s="52" t="str">
        <x:v>DBにHTMLタグ相当の文字列を含むデータを用意</x:v>
      </x:c>
      <x:c r="H50" s="52" t="str">
        <x:v>一覧/詳細モーダルを表示する</x:v>
      </x:c>
      <x:c r="I50" s="52" t="str">
        <x:v>タグが実行されず、文字列として表示される</x:v>
      </x:c>
      <x:c r="J50" s="54" t="str">
        <x:v>未実施</x:v>
      </x:c>
      <x:c r="K50" s="56" t="str"/>
      <x:c r="L50" s="54" t="str"/>
      <x:c r="M50" s="54" t="str"/>
      <x:c r="N50" s="54" t="str"/>
      <x:c r="O50" s="54" t="str">
        <x:v>高</x:v>
      </x:c>
      <x:c r="P50" s="52" t="str"/>
    </x:row>
    <x:row r="51" ht="54" customHeight="1">
      <x:c r="A51" s="54" t="n">
        <x:v>50</x:v>
      </x:c>
      <x:c r="B51" s="54" t="str">
        <x:v>UT-050</x:v>
      </x:c>
      <x:c r="C51" s="54" t="str">
        <x:v>単体テスト</x:v>
      </x:c>
      <x:c r="D51" s="52" t="str">
        <x:v>Web UI</x:v>
      </x:c>
      <x:c r="E51" s="52" t="str">
        <x:v>bridge.js</x:v>
      </x:c>
      <x:c r="F51" s="52" t="str">
        <x:v>PCブラウザ用モックが動作すること</x:v>
      </x:c>
      <x:c r="G51" s="52" t="str">
        <x:v>PCブラウザでスキャン画面を開く</x:v>
      </x:c>
      <x:c r="H51" s="52" t="str">
        <x:v>DevToolsで Bridge.mockCard('MY_NUMBER_CARD') を実行する</x:v>
      </x:c>
      <x:c r="I51" s="52" t="str">
        <x:v>読取中表示後、確認画面にモックデータが表示される</x:v>
      </x:c>
      <x:c r="J51" s="54" t="str">
        <x:v>未実施</x:v>
      </x:c>
      <x:c r="K51" s="56" t="str"/>
      <x:c r="L51" s="54" t="str"/>
      <x:c r="M51" s="54" t="str"/>
      <x:c r="N51" s="54" t="str"/>
      <x:c r="O51" s="54" t="str">
        <x:v>低</x:v>
      </x:c>
      <x:c r="P51" s="52" t="str"/>
    </x:row>
    <x:row r="52" ht="54" customHeight="1">
      <x:c r="A52" s="54" t="n">
        <x:v>51</x:v>
      </x:c>
      <x:c r="B52" s="54" t="str">
        <x:v>UT-051</x:v>
      </x:c>
      <x:c r="C52" s="54" t="str">
        <x:v>単体テスト</x:v>
      </x:c>
      <x:c r="D52" s="52" t="str">
        <x:v>Web UI</x:v>
      </x:c>
      <x:c r="E52" s="52" t="str">
        <x:v>scan.blade.php</x:v>
      </x:c>
      <x:c r="F52" s="52" t="str">
        <x:v>送信成功後に画面上のカードデータを破棄すること</x:v>
      </x:c>
      <x:c r="G52" s="52" t="str">
        <x:v>確認画面を表示</x:v>
      </x:c>
      <x:c r="H52" s="52" t="str">
        <x:v>サーバー送信ボタンを押す</x:v>
      </x:c>
      <x:c r="I52" s="52" t="str">
        <x:v>完了表示後にスキャン画面へ戻り、currentCardData が null になる</x:v>
      </x:c>
      <x:c r="J52" s="54" t="str">
        <x:v>未実施</x:v>
      </x:c>
      <x:c r="K52" s="56" t="str"/>
      <x:c r="L52" s="54" t="str"/>
      <x:c r="M52" s="54" t="str"/>
      <x:c r="N52" s="54" t="str"/>
      <x:c r="O52" s="54" t="str">
        <x:v>高</x:v>
      </x:c>
      <x:c r="P52" s="52" t="str"/>
    </x:row>
  </x:sheetData>
  <x:dataValidations count="2">
    <x:dataValidation type="list" allowBlank="1" showDropDown="0" sqref="J2:J200">
      <x:formula1>"未実施,OK,NG,保留,対象外"</x:formula1>
    </x:dataValidation>
    <x:dataValidation type="list" allowBlank="1" showDropDown="0" sqref="O2:O200">
      <x:formula1>"高,中,低"</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10" hidden="0" customWidth="1"/>
    <x:col min="3" max="3" width="15" hidden="0" customWidth="1"/>
    <x:col min="4" max="4" width="16" hidden="0" customWidth="1"/>
    <x:col min="5" max="5" width="22" hidden="0" customWidth="1"/>
    <x:col min="6" max="6" width="24" hidden="0" customWidth="1"/>
    <x:col min="7" max="7" width="30" hidden="0" customWidth="1"/>
    <x:col min="8" max="8" width="38" hidden="0" customWidth="1"/>
    <x:col min="9" max="9" width="40" hidden="0" customWidth="1"/>
    <x:col min="10" max="10" width="12" hidden="0" customWidth="1"/>
    <x:col min="11" max="11" width="12" hidden="0" customWidth="1"/>
    <x:col min="12" max="12" width="14" hidden="0" customWidth="1"/>
    <x:col min="13" max="13" width="20" hidden="0" customWidth="1"/>
    <x:col min="14" max="14" width="14" hidden="0" customWidth="1"/>
    <x:col min="15" max="15" width="10" hidden="0" customWidth="1"/>
    <x:col min="16" max="16" width="22" hidden="0" customWidth="1"/>
  </x:cols>
  <x:sheetData>
    <x:row r="1" ht="30" customHeight="1">
      <x:c r="A1" s="28" t="str">
        <x:v>No.</x:v>
      </x:c>
      <x:c r="B1" s="28" t="str">
        <x:v>テストID</x:v>
      </x:c>
      <x:c r="C1" s="28" t="str">
        <x:v>工程</x:v>
      </x:c>
      <x:c r="D1" s="28" t="str">
        <x:v>大分類</x:v>
      </x:c>
      <x:c r="E1" s="28" t="str">
        <x:v>対象機能/モジュール</x:v>
      </x:c>
      <x:c r="F1" s="28" t="str">
        <x:v>試験観点</x:v>
      </x:c>
      <x:c r="G1" s="28" t="str">
        <x:v>前提条件</x:v>
      </x:c>
      <x:c r="H1" s="28" t="str">
        <x:v>操作手順</x:v>
      </x:c>
      <x:c r="I1" s="28" t="str">
        <x:v>確認内容・期待結果</x:v>
      </x:c>
      <x:c r="J1" s="28" t="str">
        <x:v>結果</x:v>
      </x:c>
      <x:c r="K1" s="28" t="str">
        <x:v>実施日</x:v>
      </x:c>
      <x:c r="L1" s="28" t="str">
        <x:v>実施者</x:v>
      </x:c>
      <x:c r="M1" s="28" t="str">
        <x:v>エビデンス</x:v>
      </x:c>
      <x:c r="N1" s="28" t="str">
        <x:v>不具合票</x:v>
      </x:c>
      <x:c r="O1" s="28" t="str">
        <x:v>優先度</x:v>
      </x:c>
      <x:c r="P1" s="28" t="str">
        <x:v>備考</x:v>
      </x:c>
    </x:row>
    <x:row r="2" ht="54" customHeight="1">
      <x:c r="A2" s="54" t="n">
        <x:v>1</x:v>
      </x:c>
      <x:c r="B2" s="54" t="str">
        <x:v>IT-001</x:v>
      </x:c>
      <x:c r="C2" s="54" t="str">
        <x:v>結合テスト</x:v>
      </x:c>
      <x:c r="D2" s="52" t="str">
        <x:v>Android×Web</x:v>
      </x:c>
      <x:c r="E2" s="52" t="str">
        <x:v>起動・ログイン</x:v>
      </x:c>
      <x:c r="F2" s="52" t="str">
        <x:v>WebViewからLaravelログイン画面へ遷移できること</x:v>
      </x:c>
      <x:c r="G2" s="52" t="str">
        <x:v>タブレットとサーバーが同一ネットワークで疎通可能</x:v>
      </x:c>
      <x:c r="H2" s="52" t="str">
        <x:v>APKを起動し、未ログイン状態でアクセスする</x:v>
      </x:c>
      <x:c r="I2" s="52" t="str">
        <x:v>ログイン画面が表示される</x:v>
      </x:c>
      <x:c r="J2" s="54" t="str">
        <x:v>未実施</x:v>
      </x:c>
      <x:c r="K2" s="56" t="str"/>
      <x:c r="L2" s="54" t="str"/>
      <x:c r="M2" s="54" t="str"/>
      <x:c r="N2" s="54" t="str"/>
      <x:c r="O2" s="54" t="str">
        <x:v>高</x:v>
      </x:c>
      <x:c r="P2" s="52" t="str"/>
    </x:row>
    <x:row r="3" ht="54" customHeight="1">
      <x:c r="A3" s="54" t="n">
        <x:v>2</x:v>
      </x:c>
      <x:c r="B3" s="54" t="str">
        <x:v>IT-002</x:v>
      </x:c>
      <x:c r="C3" s="54" t="str">
        <x:v>結合テスト</x:v>
      </x:c>
      <x:c r="D3" s="52" t="str">
        <x:v>Android×Web</x:v>
      </x:c>
      <x:c r="E3" s="52" t="str">
        <x:v>セッション維持</x:v>
      </x:c>
      <x:c r="F3" s="52" t="str">
        <x:v>ログイン後にWebView Cookieでセッションが維持されること</x:v>
      </x:c>
      <x:c r="G3" s="52" t="str">
        <x:v>有効ユーザーでログイン済み</x:v>
      </x:c>
      <x:c r="H3" s="52" t="str">
        <x:v>APKを再起動し、保護ページを開く</x:v>
      </x:c>
      <x:c r="I3" s="52" t="str">
        <x:v>セッション有効期限内なら再ログイン不要または仕様通りに維持される</x:v>
      </x:c>
      <x:c r="J3" s="54" t="str">
        <x:v>未実施</x:v>
      </x:c>
      <x:c r="K3" s="56" t="str"/>
      <x:c r="L3" s="54" t="str"/>
      <x:c r="M3" s="54" t="str"/>
      <x:c r="N3" s="54" t="str"/>
      <x:c r="O3" s="54" t="str">
        <x:v>高</x:v>
      </x:c>
      <x:c r="P3" s="52" t="str"/>
    </x:row>
    <x:row r="4" ht="54" customHeight="1">
      <x:c r="A4" s="54" t="n">
        <x:v>3</x:v>
      </x:c>
      <x:c r="B4" s="54" t="str">
        <x:v>IT-003</x:v>
      </x:c>
      <x:c r="C4" s="54" t="str">
        <x:v>結合テスト</x:v>
      </x:c>
      <x:c r="D4" s="52" t="str">
        <x:v>Android×Web</x:v>
      </x:c>
      <x:c r="E4" s="52" t="str">
        <x:v>ログアウト連携</x:v>
      </x:c>
      <x:c r="F4" s="52" t="str">
        <x:v>ログアウト後に保護APIへアクセスできないこと</x:v>
      </x:c>
      <x:c r="G4" s="52" t="str">
        <x:v>ログイン済み</x:v>
      </x:c>
      <x:c r="H4" s="52" t="str">
        <x:v>ログアウトし、スキャン画面または /api/me にアクセス</x:v>
      </x:c>
      <x:c r="I4" s="52" t="str">
        <x:v>ログイン画面へリダイレクトまたは401/403相当になる</x:v>
      </x:c>
      <x:c r="J4" s="54" t="str">
        <x:v>未実施</x:v>
      </x:c>
      <x:c r="K4" s="56" t="str"/>
      <x:c r="L4" s="54" t="str"/>
      <x:c r="M4" s="54" t="str"/>
      <x:c r="N4" s="54" t="str"/>
      <x:c r="O4" s="54" t="str">
        <x:v>高</x:v>
      </x:c>
      <x:c r="P4" s="52" t="str"/>
    </x:row>
    <x:row r="5" ht="54" customHeight="1">
      <x:c r="A5" s="54" t="n">
        <x:v>4</x:v>
      </x:c>
      <x:c r="B5" s="54" t="str">
        <x:v>IT-004</x:v>
      </x:c>
      <x:c r="C5" s="54" t="str">
        <x:v>結合テスト</x:v>
      </x:c>
      <x:c r="D5" s="52" t="str">
        <x:v>Android×Web</x:v>
      </x:c>
      <x:c r="E5" s="52" t="str">
        <x:v>NFC読取→確認画面</x:v>
      </x:c>
      <x:c r="F5" s="52" t="str">
        <x:v>マイナンバーカード読取結果がWeb画面へ渡ること</x:v>
      </x:c>
      <x:c r="G5" s="52" t="str">
        <x:v>正しいPIN、収集設定デフォルト</x:v>
      </x:c>
      <x:c r="H5" s="52" t="str">
        <x:v>カードをタッチしPIN入力</x:v>
      </x:c>
      <x:c r="I5" s="52" t="str">
        <x:v>確認画面にカード種別、氏名、生年月日等が表示される</x:v>
      </x:c>
      <x:c r="J5" s="54" t="str">
        <x:v>未実施</x:v>
      </x:c>
      <x:c r="K5" s="56" t="str"/>
      <x:c r="L5" s="54" t="str"/>
      <x:c r="M5" s="54" t="str"/>
      <x:c r="N5" s="54" t="str"/>
      <x:c r="O5" s="54" t="str">
        <x:v>高</x:v>
      </x:c>
      <x:c r="P5" s="52" t="str"/>
    </x:row>
    <x:row r="6" ht="54" customHeight="1">
      <x:c r="A6" s="54" t="n">
        <x:v>5</x:v>
      </x:c>
      <x:c r="B6" s="54" t="str">
        <x:v>IT-005</x:v>
      </x:c>
      <x:c r="C6" s="54" t="str">
        <x:v>結合テスト</x:v>
      </x:c>
      <x:c r="D6" s="52" t="str">
        <x:v>Android×Web</x:v>
      </x:c>
      <x:c r="E6" s="52" t="str">
        <x:v>NFC読取→確認画面</x:v>
      </x:c>
      <x:c r="F6" s="52" t="str">
        <x:v>運転免許証読取結果がWeb画面へ渡ること</x:v>
      </x:c>
      <x:c r="G6" s="52" t="str">
        <x:v>正しい暗証番号1、収集設定デフォルト</x:v>
      </x:c>
      <x:c r="H6" s="52" t="str">
        <x:v>カードをタッチし暗証番号入力</x:v>
      </x:c>
      <x:c r="I6" s="52" t="str">
        <x:v>確認画面にカード種別、氏名、生年月日、住所等が表示される</x:v>
      </x:c>
      <x:c r="J6" s="54" t="str">
        <x:v>未実施</x:v>
      </x:c>
      <x:c r="K6" s="56" t="str"/>
      <x:c r="L6" s="54" t="str"/>
      <x:c r="M6" s="54" t="str"/>
      <x:c r="N6" s="54" t="str"/>
      <x:c r="O6" s="54" t="str">
        <x:v>高</x:v>
      </x:c>
      <x:c r="P6" s="52" t="str"/>
    </x:row>
    <x:row r="7" ht="54" customHeight="1">
      <x:c r="A7" s="54" t="n">
        <x:v>6</x:v>
      </x:c>
      <x:c r="B7" s="54" t="str">
        <x:v>IT-006</x:v>
      </x:c>
      <x:c r="C7" s="54" t="str">
        <x:v>結合テスト</x:v>
      </x:c>
      <x:c r="D7" s="52" t="str">
        <x:v>Web×API</x:v>
      </x:c>
      <x:c r="E7" s="52" t="str">
        <x:v>CSRF連携</x:v>
      </x:c>
      <x:c r="F7" s="52" t="str">
        <x:v>画面からのPOSTにCSRFトークンが付与されること</x:v>
      </x:c>
      <x:c r="G7" s="52" t="str">
        <x:v>ログイン済み、確認画面表示</x:v>
      </x:c>
      <x:c r="H7" s="52" t="str">
        <x:v>サーバー送信ボタンを押す</x:v>
      </x:c>
      <x:c r="I7" s="52" t="str">
        <x:v>X-CSRF-TOKEN付きでPOSTされ、正常登録できる</x:v>
      </x:c>
      <x:c r="J7" s="54" t="str">
        <x:v>未実施</x:v>
      </x:c>
      <x:c r="K7" s="56" t="str"/>
      <x:c r="L7" s="54" t="str"/>
      <x:c r="M7" s="54" t="str"/>
      <x:c r="N7" s="54" t="str"/>
      <x:c r="O7" s="54" t="str">
        <x:v>高</x:v>
      </x:c>
      <x:c r="P7" s="52" t="str"/>
    </x:row>
    <x:row r="8" ht="54" customHeight="1">
      <x:c r="A8" s="54" t="n">
        <x:v>7</x:v>
      </x:c>
      <x:c r="B8" s="54" t="str">
        <x:v>IT-007</x:v>
      </x:c>
      <x:c r="C8" s="54" t="str">
        <x:v>結合テスト</x:v>
      </x:c>
      <x:c r="D8" s="52" t="str">
        <x:v>Web×API</x:v>
      </x:c>
      <x:c r="E8" s="52" t="str">
        <x:v>CSRF連携</x:v>
      </x:c>
      <x:c r="F8" s="52" t="str">
        <x:v>CSRFトークンなしのPOSTが拒否されること</x:v>
      </x:c>
      <x:c r="G8" s="52" t="str">
        <x:v>ログイン済み</x:v>
      </x:c>
      <x:c r="H8" s="52" t="str">
        <x:v>DevTools等でX-CSRF-TOKENなしのPOSTを送る</x:v>
      </x:c>
      <x:c r="I8" s="52" t="str">
        <x:v>登録されず、419/403相当で拒否される</x:v>
      </x:c>
      <x:c r="J8" s="54" t="str">
        <x:v>未実施</x:v>
      </x:c>
      <x:c r="K8" s="56" t="str"/>
      <x:c r="L8" s="54" t="str"/>
      <x:c r="M8" s="54" t="str"/>
      <x:c r="N8" s="54" t="str"/>
      <x:c r="O8" s="54" t="str">
        <x:v>高</x:v>
      </x:c>
      <x:c r="P8" s="52" t="str"/>
    </x:row>
    <x:row r="9" ht="54" customHeight="1">
      <x:c r="A9" s="54" t="n">
        <x:v>8</x:v>
      </x:c>
      <x:c r="B9" s="54" t="str">
        <x:v>IT-008</x:v>
      </x:c>
      <x:c r="C9" s="54" t="str">
        <x:v>結合テスト</x:v>
      </x:c>
      <x:c r="D9" s="52" t="str">
        <x:v>Web×API</x:v>
      </x:c>
      <x:c r="E9" s="52" t="str">
        <x:v>登録連携</x:v>
      </x:c>
      <x:c r="F9" s="52" t="str">
        <x:v>確認画面の送信値がDBに登録されること</x:v>
      </x:c>
      <x:c r="G9" s="52" t="str">
        <x:v>カード読取済み</x:v>
      </x:c>
      <x:c r="H9" s="52" t="str">
        <x:v>サーバー送信する</x:v>
      </x:c>
      <x:c r="I9" s="52" t="str">
        <x:v>card_records に対象データが1件登録される</x:v>
      </x:c>
      <x:c r="J9" s="54" t="str">
        <x:v>未実施</x:v>
      </x:c>
      <x:c r="K9" s="56" t="str"/>
      <x:c r="L9" s="54" t="str"/>
      <x:c r="M9" s="54" t="str"/>
      <x:c r="N9" s="54" t="str"/>
      <x:c r="O9" s="54" t="str">
        <x:v>高</x:v>
      </x:c>
      <x:c r="P9" s="52" t="str"/>
    </x:row>
    <x:row r="10" ht="54" customHeight="1">
      <x:c r="A10" s="54" t="n">
        <x:v>9</x:v>
      </x:c>
      <x:c r="B10" s="54" t="str">
        <x:v>IT-009</x:v>
      </x:c>
      <x:c r="C10" s="54" t="str">
        <x:v>結合テスト</x:v>
      </x:c>
      <x:c r="D10" s="52" t="str">
        <x:v>Web×API</x:v>
      </x:c>
      <x:c r="E10" s="52" t="str">
        <x:v>登録連携</x:v>
      </x:c>
      <x:c r="F10" s="52" t="str">
        <x:v>送信失敗時に再送可能な状態になること</x:v>
      </x:c>
      <x:c r="G10" s="52" t="str">
        <x:v>APIを一時停止またはネットワーク遮断</x:v>
      </x:c>
      <x:c r="H10" s="52" t="str">
        <x:v>確認画面で送信する</x:v>
      </x:c>
      <x:c r="I10" s="52" t="str">
        <x:v>エラー表示となり、送信ボタンが再度押せる</x:v>
      </x:c>
      <x:c r="J10" s="54" t="str">
        <x:v>未実施</x:v>
      </x:c>
      <x:c r="K10" s="56" t="str"/>
      <x:c r="L10" s="54" t="str"/>
      <x:c r="M10" s="54" t="str"/>
      <x:c r="N10" s="54" t="str"/>
      <x:c r="O10" s="54" t="str">
        <x:v>高</x:v>
      </x:c>
      <x:c r="P10" s="52" t="str"/>
    </x:row>
    <x:row r="11" ht="54" customHeight="1">
      <x:c r="A11" s="54" t="n">
        <x:v>10</x:v>
      </x:c>
      <x:c r="B11" s="54" t="str">
        <x:v>IT-010</x:v>
      </x:c>
      <x:c r="C11" s="54" t="str">
        <x:v>結合テスト</x:v>
      </x:c>
      <x:c r="D11" s="52" t="str">
        <x:v>API×DB</x:v>
      </x:c>
      <x:c r="E11" s="52" t="str">
        <x:v>Oracle接続</x:v>
      </x:c>
      <x:c r="F11" s="52" t="str">
        <x:v>LaravelからOracleへ登録できること</x:v>
      </x:c>
      <x:c r="G11" s="52" t="str">
        <x:v>Oracle接続設定済み</x:v>
      </x:c>
      <x:c r="H11" s="52" t="str">
        <x:v>カードデータを登録する</x:v>
      </x:c>
      <x:c r="I11" s="52" t="str">
        <x:v>Oracleのcard_recordsに登録される</x:v>
      </x:c>
      <x:c r="J11" s="54" t="str">
        <x:v>未実施</x:v>
      </x:c>
      <x:c r="K11" s="56" t="str"/>
      <x:c r="L11" s="54" t="str"/>
      <x:c r="M11" s="54" t="str"/>
      <x:c r="N11" s="54" t="str"/>
      <x:c r="O11" s="54" t="str">
        <x:v>高</x:v>
      </x:c>
      <x:c r="P11" s="52" t="str"/>
    </x:row>
    <x:row r="12" ht="54" customHeight="1">
      <x:c r="A12" s="54" t="n">
        <x:v>11</x:v>
      </x:c>
      <x:c r="B12" s="54" t="str">
        <x:v>IT-011</x:v>
      </x:c>
      <x:c r="C12" s="54" t="str">
        <x:v>結合テスト</x:v>
      </x:c>
      <x:c r="D12" s="52" t="str">
        <x:v>API×DB</x:v>
      </x:c>
      <x:c r="E12" s="52" t="str">
        <x:v>Oracle接続</x:v>
      </x:c>
      <x:c r="F12" s="52" t="str">
        <x:v>DB障害時に利用者へエラーを返すこと</x:v>
      </x:c>
      <x:c r="G12" s="52" t="str">
        <x:v>Oracle停止または接続不可状態</x:v>
      </x:c>
      <x:c r="H12" s="52" t="str">
        <x:v>送信または一覧取得を行う</x:v>
      </x:c>
      <x:c r="I12" s="52" t="str">
        <x:v>アプリが落ちず、エラー表示または500応答となる。部分登録されない</x:v>
      </x:c>
      <x:c r="J12" s="54" t="str">
        <x:v>未実施</x:v>
      </x:c>
      <x:c r="K12" s="56" t="str"/>
      <x:c r="L12" s="54" t="str"/>
      <x:c r="M12" s="54" t="str"/>
      <x:c r="N12" s="54" t="str"/>
      <x:c r="O12" s="54" t="str">
        <x:v>高</x:v>
      </x:c>
      <x:c r="P12" s="52" t="str"/>
    </x:row>
    <x:row r="13" ht="54" customHeight="1">
      <x:c r="A13" s="54" t="n">
        <x:v>12</x:v>
      </x:c>
      <x:c r="B13" s="54" t="str">
        <x:v>IT-012</x:v>
      </x:c>
      <x:c r="C13" s="54" t="str">
        <x:v>結合テスト</x:v>
      </x:c>
      <x:c r="D13" s="52" t="str">
        <x:v>API×DB</x:v>
      </x:c>
      <x:c r="E13" s="52" t="str">
        <x:v>検索連携</x:v>
      </x:c>
      <x:c r="F13" s="52" t="str">
        <x:v>氏名検索がDB結果に反映されること</x:v>
      </x:c>
      <x:c r="G13" s="52" t="str">
        <x:v>複数の登録データを用意</x:v>
      </x:c>
      <x:c r="H13" s="52" t="str">
        <x:v>記録一覧で氏名の一部を検索</x:v>
      </x:c>
      <x:c r="I13" s="52" t="str">
        <x:v>該当データのみ表示される</x:v>
      </x:c>
      <x:c r="J13" s="54" t="str">
        <x:v>未実施</x:v>
      </x:c>
      <x:c r="K13" s="56" t="str"/>
      <x:c r="L13" s="54" t="str"/>
      <x:c r="M13" s="54" t="str"/>
      <x:c r="N13" s="54" t="str"/>
      <x:c r="O13" s="54" t="str">
        <x:v>中</x:v>
      </x:c>
      <x:c r="P13" s="52" t="str"/>
    </x:row>
    <x:row r="14" ht="54" customHeight="1">
      <x:c r="A14" s="54" t="n">
        <x:v>13</x:v>
      </x:c>
      <x:c r="B14" s="54" t="str">
        <x:v>IT-013</x:v>
      </x:c>
      <x:c r="C14" s="54" t="str">
        <x:v>結合テスト</x:v>
      </x:c>
      <x:c r="D14" s="52" t="str">
        <x:v>API×DB</x:v>
      </x:c>
      <x:c r="E14" s="52" t="str">
        <x:v>検索連携</x:v>
      </x:c>
      <x:c r="F14" s="52" t="str">
        <x:v>住所検索がDB結果に反映されること</x:v>
      </x:c>
      <x:c r="G14" s="52" t="str">
        <x:v>住所を含む登録データを用意</x:v>
      </x:c>
      <x:c r="H14" s="52" t="str">
        <x:v>記録一覧で住所の一部を検索</x:v>
      </x:c>
      <x:c r="I14" s="52" t="str">
        <x:v>該当データのみ表示される</x:v>
      </x:c>
      <x:c r="J14" s="54" t="str">
        <x:v>未実施</x:v>
      </x:c>
      <x:c r="K14" s="56" t="str"/>
      <x:c r="L14" s="54" t="str"/>
      <x:c r="M14" s="54" t="str"/>
      <x:c r="N14" s="54" t="str"/>
      <x:c r="O14" s="54" t="str">
        <x:v>中</x:v>
      </x:c>
      <x:c r="P14" s="52" t="str"/>
    </x:row>
    <x:row r="15" ht="54" customHeight="1">
      <x:c r="A15" s="54" t="n">
        <x:v>14</x:v>
      </x:c>
      <x:c r="B15" s="54" t="str">
        <x:v>IT-014</x:v>
      </x:c>
      <x:c r="C15" s="54" t="str">
        <x:v>結合テスト</x:v>
      </x:c>
      <x:c r="D15" s="52" t="str">
        <x:v>API×DB</x:v>
      </x:c>
      <x:c r="E15" s="52" t="str">
        <x:v>利用者分離</x:v>
      </x:c>
      <x:c r="F15" s="52" t="str">
        <x:v>ユーザーA/Bのデータが混在表示されないこと</x:v>
      </x:c>
      <x:c r="G15" s="52" t="str">
        <x:v>ユーザーA/Bでそれぞれ登録済み</x:v>
      </x:c>
      <x:c r="H15" s="52" t="str">
        <x:v>ユーザーAで一覧表示</x:v>
      </x:c>
      <x:c r="I15" s="52" t="str">
        <x:v>ユーザーBのデータは表示されない</x:v>
      </x:c>
      <x:c r="J15" s="54" t="str">
        <x:v>未実施</x:v>
      </x:c>
      <x:c r="K15" s="56" t="str"/>
      <x:c r="L15" s="54" t="str"/>
      <x:c r="M15" s="54" t="str"/>
      <x:c r="N15" s="54" t="str"/>
      <x:c r="O15" s="54" t="str">
        <x:v>高</x:v>
      </x:c>
      <x:c r="P15" s="52" t="str"/>
    </x:row>
    <x:row r="16" ht="54" customHeight="1">
      <x:c r="A16" s="54" t="n">
        <x:v>15</x:v>
      </x:c>
      <x:c r="B16" s="54" t="str">
        <x:v>IT-015</x:v>
      </x:c>
      <x:c r="C16" s="54" t="str">
        <x:v>結合テスト</x:v>
      </x:c>
      <x:c r="D16" s="52" t="str">
        <x:v>設定連携</x:v>
      </x:c>
      <x:c r="E16" s="52" t="str">
        <x:v>Android設定</x:v>
      </x:c>
      <x:c r="F16" s="52" t="str">
        <x:v>Android側収集OFFが画面表示に反映されること</x:v>
      </x:c>
      <x:c r="G16" s="52" t="str">
        <x:v>collect_address=false のAPKを用意</x:v>
      </x:c>
      <x:c r="H16" s="52" t="str">
        <x:v>カードを読み取る</x:v>
      </x:c>
      <x:c r="I16" s="52" t="str">
        <x:v>住所欄が確認画面に出ない</x:v>
      </x:c>
      <x:c r="J16" s="54" t="str">
        <x:v>未実施</x:v>
      </x:c>
      <x:c r="K16" s="56" t="str"/>
      <x:c r="L16" s="54" t="str"/>
      <x:c r="M16" s="54" t="str"/>
      <x:c r="N16" s="54" t="str"/>
      <x:c r="O16" s="54" t="str">
        <x:v>高</x:v>
      </x:c>
      <x:c r="P16" s="52" t="str"/>
    </x:row>
    <x:row r="17" ht="54" customHeight="1">
      <x:c r="A17" s="54" t="n">
        <x:v>16</x:v>
      </x:c>
      <x:c r="B17" s="54" t="str">
        <x:v>IT-016</x:v>
      </x:c>
      <x:c r="C17" s="54" t="str">
        <x:v>結合テスト</x:v>
      </x:c>
      <x:c r="D17" s="52" t="str">
        <x:v>設定連携</x:v>
      </x:c>
      <x:c r="E17" s="52" t="str">
        <x:v>サーバー設定</x:v>
      </x:c>
      <x:c r="F17" s="52" t="str">
        <x:v>/api/config の更新値が保存・取得できること</x:v>
      </x:c>
      <x:c r="G17" s="52" t="str">
        <x:v>ログイン済み</x:v>
      </x:c>
      <x:c r="H17" s="52" t="str">
        <x:v>設定をPUTし、GETで再確認する</x:v>
      </x:c>
      <x:c r="I17" s="52" t="str">
        <x:v>PUTした値がGETで返る</x:v>
      </x:c>
      <x:c r="J17" s="54" t="str">
        <x:v>未実施</x:v>
      </x:c>
      <x:c r="K17" s="56" t="str"/>
      <x:c r="L17" s="54" t="str"/>
      <x:c r="M17" s="54" t="str"/>
      <x:c r="N17" s="54" t="str"/>
      <x:c r="O17" s="54" t="str">
        <x:v>中</x:v>
      </x:c>
      <x:c r="P17" s="52" t="str"/>
    </x:row>
    <x:row r="18" ht="54" customHeight="1">
      <x:c r="A18" s="54" t="n">
        <x:v>17</x:v>
      </x:c>
      <x:c r="B18" s="54" t="str">
        <x:v>IT-017</x:v>
      </x:c>
      <x:c r="C18" s="54" t="str">
        <x:v>結合テスト</x:v>
      </x:c>
      <x:c r="D18" s="52" t="str">
        <x:v>設定連携</x:v>
      </x:c>
      <x:c r="E18" s="52" t="str">
        <x:v>クライアント/サーバー差分</x:v>
      </x:c>
      <x:c r="F18" s="52" t="str">
        <x:v>Android設定とサーバー設定が矛盾した場合の扱いを確認すること</x:v>
      </x:c>
      <x:c r="G18" s="52" t="str">
        <x:v>Androidは住所ON、サーバー設定は住所OFF等</x:v>
      </x:c>
      <x:c r="H18" s="52" t="str">
        <x:v>読取→送信→DB確認</x:v>
      </x:c>
      <x:c r="I18" s="52" t="str">
        <x:v>仕様上定義した優先順位に従って保存/破棄される</x:v>
      </x:c>
      <x:c r="J18" s="54" t="str">
        <x:v>未実施</x:v>
      </x:c>
      <x:c r="K18" s="56" t="str"/>
      <x:c r="L18" s="54" t="str"/>
      <x:c r="M18" s="54" t="str"/>
      <x:c r="N18" s="54" t="str"/>
      <x:c r="O18" s="54" t="str">
        <x:v>高</x:v>
      </x:c>
      <x:c r="P18" s="52" t="str">
        <x:v>仕様未確定の場合は課題化</x:v>
      </x:c>
    </x:row>
    <x:row r="19" ht="54" customHeight="1">
      <x:c r="A19" s="54" t="n">
        <x:v>18</x:v>
      </x:c>
      <x:c r="B19" s="54" t="str">
        <x:v>IT-018</x:v>
      </x:c>
      <x:c r="C19" s="54" t="str">
        <x:v>結合テスト</x:v>
      </x:c>
      <x:c r="D19" s="52" t="str">
        <x:v>NFC×API</x:v>
      </x:c>
      <x:c r="E19" s="52" t="str">
        <x:v>マイナンバーカード登録E2E</x:v>
      </x:c>
      <x:c r="F19" s="52" t="str">
        <x:v>マイナンバーカードを読み取りDB登録できること</x:v>
      </x:c>
      <x:c r="G19" s="52" t="str">
        <x:v>正しいPIN、有効ユーザー</x:v>
      </x:c>
      <x:c r="H19" s="52" t="str">
        <x:v>カード読取→確認→送信→一覧確認</x:v>
      </x:c>
      <x:c r="I19" s="52" t="str">
        <x:v>一覧に登録データが表示される</x:v>
      </x:c>
      <x:c r="J19" s="54" t="str">
        <x:v>未実施</x:v>
      </x:c>
      <x:c r="K19" s="56" t="str"/>
      <x:c r="L19" s="54" t="str"/>
      <x:c r="M19" s="54" t="str"/>
      <x:c r="N19" s="54" t="str"/>
      <x:c r="O19" s="54" t="str">
        <x:v>高</x:v>
      </x:c>
      <x:c r="P19" s="52" t="str"/>
    </x:row>
    <x:row r="20" ht="54" customHeight="1">
      <x:c r="A20" s="54" t="n">
        <x:v>19</x:v>
      </x:c>
      <x:c r="B20" s="54" t="str">
        <x:v>IT-019</x:v>
      </x:c>
      <x:c r="C20" s="54" t="str">
        <x:v>結合テスト</x:v>
      </x:c>
      <x:c r="D20" s="52" t="str">
        <x:v>NFC×API</x:v>
      </x:c>
      <x:c r="E20" s="52" t="str">
        <x:v>運転免許証登録E2E</x:v>
      </x:c>
      <x:c r="F20" s="52" t="str">
        <x:v>運転免許証を読み取りDB登録できること</x:v>
      </x:c>
      <x:c r="G20" s="52" t="str">
        <x:v>正しい暗証番号1、有効ユーザー</x:v>
      </x:c>
      <x:c r="H20" s="52" t="str">
        <x:v>カード読取→確認→送信→一覧確認</x:v>
      </x:c>
      <x:c r="I20" s="52" t="str">
        <x:v>一覧に登録データが表示される</x:v>
      </x:c>
      <x:c r="J20" s="54" t="str">
        <x:v>未実施</x:v>
      </x:c>
      <x:c r="K20" s="56" t="str"/>
      <x:c r="L20" s="54" t="str"/>
      <x:c r="M20" s="54" t="str"/>
      <x:c r="N20" s="54" t="str"/>
      <x:c r="O20" s="54" t="str">
        <x:v>高</x:v>
      </x:c>
      <x:c r="P20" s="52" t="str"/>
    </x:row>
    <x:row r="21" ht="54" customHeight="1">
      <x:c r="A21" s="54" t="n">
        <x:v>20</x:v>
      </x:c>
      <x:c r="B21" s="54" t="str">
        <x:v>IT-020</x:v>
      </x:c>
      <x:c r="C21" s="54" t="str">
        <x:v>結合テスト</x:v>
      </x:c>
      <x:c r="D21" s="52" t="str">
        <x:v>NFC×API</x:v>
      </x:c>
      <x:c r="E21" s="52" t="str">
        <x:v>キャンセル</x:v>
      </x:c>
      <x:c r="F21" s="52" t="str">
        <x:v>確認画面キャンセル時に登録されないこと</x:v>
      </x:c>
      <x:c r="G21" s="52" t="str">
        <x:v>カード読取済み</x:v>
      </x:c>
      <x:c r="H21" s="52" t="str">
        <x:v>確認画面でキャンセルする</x:v>
      </x:c>
      <x:c r="I21" s="52" t="str">
        <x:v>DBに登録されず、スキャン画面に戻る</x:v>
      </x:c>
      <x:c r="J21" s="54" t="str">
        <x:v>未実施</x:v>
      </x:c>
      <x:c r="K21" s="56" t="str"/>
      <x:c r="L21" s="54" t="str"/>
      <x:c r="M21" s="54" t="str"/>
      <x:c r="N21" s="54" t="str"/>
      <x:c r="O21" s="54" t="str">
        <x:v>高</x:v>
      </x:c>
      <x:c r="P21" s="52" t="str"/>
    </x:row>
    <x:row r="22" ht="54" customHeight="1">
      <x:c r="A22" s="54" t="n">
        <x:v>21</x:v>
      </x:c>
      <x:c r="B22" s="54" t="str">
        <x:v>IT-021</x:v>
      </x:c>
      <x:c r="C22" s="54" t="str">
        <x:v>結合テスト</x:v>
      </x:c>
      <x:c r="D22" s="52" t="str">
        <x:v>エラー連携</x:v>
      </x:c>
      <x:c r="E22" s="52" t="str">
        <x:v>カード取外し</x:v>
      </x:c>
      <x:c r="F22" s="52" t="str">
        <x:v>読取途中でカードを離した場合に復帰できること</x:v>
      </x:c>
      <x:c r="G22" s="52" t="str">
        <x:v>カード読取中</x:v>
      </x:c>
      <x:c r="H22" s="52" t="str">
        <x:v>カードを離す</x:v>
      </x:c>
      <x:c r="I22" s="52" t="str">
        <x:v>エラー表示後、再度スキャン可能になる</x:v>
      </x:c>
      <x:c r="J22" s="54" t="str">
        <x:v>未実施</x:v>
      </x:c>
      <x:c r="K22" s="56" t="str"/>
      <x:c r="L22" s="54" t="str"/>
      <x:c r="M22" s="54" t="str"/>
      <x:c r="N22" s="54" t="str"/>
      <x:c r="O22" s="54" t="str">
        <x:v>高</x:v>
      </x:c>
      <x:c r="P22" s="52" t="str"/>
    </x:row>
    <x:row r="23" ht="54" customHeight="1">
      <x:c r="A23" s="54" t="n">
        <x:v>22</x:v>
      </x:c>
      <x:c r="B23" s="54" t="str">
        <x:v>IT-022</x:v>
      </x:c>
      <x:c r="C23" s="54" t="str">
        <x:v>結合テスト</x:v>
      </x:c>
      <x:c r="D23" s="52" t="str">
        <x:v>エラー連携</x:v>
      </x:c>
      <x:c r="E23" s="52" t="str">
        <x:v>通信断</x:v>
      </x:c>
      <x:c r="F23" s="52" t="str">
        <x:v>サーバー送信中の通信断を扱えること</x:v>
      </x:c>
      <x:c r="G23" s="52" t="str">
        <x:v>確認画面表示</x:v>
      </x:c>
      <x:c r="H23" s="52" t="str">
        <x:v>ネットワークを切断して送信</x:v>
      </x:c>
      <x:c r="I23" s="52" t="str">
        <x:v>エラー表示となり、未登録または重複なしで扱われる</x:v>
      </x:c>
      <x:c r="J23" s="54" t="str">
        <x:v>未実施</x:v>
      </x:c>
      <x:c r="K23" s="56" t="str"/>
      <x:c r="L23" s="54" t="str"/>
      <x:c r="M23" s="54" t="str"/>
      <x:c r="N23" s="54" t="str"/>
      <x:c r="O23" s="54" t="str">
        <x:v>高</x:v>
      </x:c>
      <x:c r="P23" s="52" t="str"/>
    </x:row>
    <x:row r="24" ht="54" customHeight="1">
      <x:c r="A24" s="54" t="n">
        <x:v>23</x:v>
      </x:c>
      <x:c r="B24" s="54" t="str">
        <x:v>IT-023</x:v>
      </x:c>
      <x:c r="C24" s="54" t="str">
        <x:v>結合テスト</x:v>
      </x:c>
      <x:c r="D24" s="52" t="str">
        <x:v>エラー連携</x:v>
      </x:c>
      <x:c r="E24" s="52" t="str">
        <x:v>セッション切れ</x:v>
      </x:c>
      <x:c r="F24" s="52" t="str">
        <x:v>確認画面表示後にセッション切れとなった場合の挙動</x:v>
      </x:c>
      <x:c r="G24" s="52" t="str">
        <x:v>セッション有効期限を短く設定</x:v>
      </x:c>
      <x:c r="H24" s="52" t="str">
        <x:v>確認画面で時間経過後に送信</x:v>
      </x:c>
      <x:c r="I24" s="52" t="str">
        <x:v>ログイン要求またはエラーとなり、意図しない登録が行われない</x:v>
      </x:c>
      <x:c r="J24" s="54" t="str">
        <x:v>未実施</x:v>
      </x:c>
      <x:c r="K24" s="56" t="str"/>
      <x:c r="L24" s="54" t="str"/>
      <x:c r="M24" s="54" t="str"/>
      <x:c r="N24" s="54" t="str"/>
      <x:c r="O24" s="54" t="str">
        <x:v>高</x:v>
      </x:c>
      <x:c r="P24" s="52" t="str"/>
    </x:row>
    <x:row r="25" ht="54" customHeight="1">
      <x:c r="A25" s="54" t="n">
        <x:v>24</x:v>
      </x:c>
      <x:c r="B25" s="54" t="str">
        <x:v>IT-024</x:v>
      </x:c>
      <x:c r="C25" s="54" t="str">
        <x:v>結合テスト</x:v>
      </x:c>
      <x:c r="D25" s="52" t="str">
        <x:v>UI連携</x:v>
      </x:c>
      <x:c r="E25" s="52" t="str">
        <x:v>記録一覧詳細</x:v>
      </x:c>
      <x:c r="F25" s="52" t="str">
        <x:v>一覧から詳細モーダルを表示できること</x:v>
      </x:c>
      <x:c r="G25" s="52" t="str">
        <x:v>登録データあり</x:v>
      </x:c>
      <x:c r="H25" s="52" t="str">
        <x:v>記録一覧で行を押下</x:v>
      </x:c>
      <x:c r="I25" s="52" t="str">
        <x:v>詳細モーダルに全項目が表示される</x:v>
      </x:c>
      <x:c r="J25" s="54" t="str">
        <x:v>未実施</x:v>
      </x:c>
      <x:c r="K25" s="56" t="str"/>
      <x:c r="L25" s="54" t="str"/>
      <x:c r="M25" s="54" t="str"/>
      <x:c r="N25" s="54" t="str"/>
      <x:c r="O25" s="54" t="str">
        <x:v>中</x:v>
      </x:c>
      <x:c r="P25" s="52" t="str"/>
    </x:row>
    <x:row r="26" ht="54" customHeight="1">
      <x:c r="A26" s="54" t="n">
        <x:v>25</x:v>
      </x:c>
      <x:c r="B26" s="54" t="str">
        <x:v>IT-025</x:v>
      </x:c>
      <x:c r="C26" s="54" t="str">
        <x:v>結合テスト</x:v>
      </x:c>
      <x:c r="D26" s="52" t="str">
        <x:v>UI連携</x:v>
      </x:c>
      <x:c r="E26" s="52" t="str">
        <x:v>戻る操作</x:v>
      </x:c>
      <x:c r="F26" s="52" t="str">
        <x:v>Androidバック操作がWebView履歴に従うこと</x:v>
      </x:c>
      <x:c r="G26" s="52" t="str">
        <x:v>複数画面を遷移済み</x:v>
      </x:c>
      <x:c r="H26" s="52" t="str">
        <x:v>端末の戻る操作を行う</x:v>
      </x:c>
      <x:c r="I26" s="52" t="str">
        <x:v>WebView履歴がある場合は前画面に戻り、履歴なしならアプリ終了相当になる</x:v>
      </x:c>
      <x:c r="J26" s="54" t="str">
        <x:v>未実施</x:v>
      </x:c>
      <x:c r="K26" s="56" t="str"/>
      <x:c r="L26" s="54" t="str"/>
      <x:c r="M26" s="54" t="str"/>
      <x:c r="N26" s="54" t="str"/>
      <x:c r="O26" s="54" t="str">
        <x:v>低</x:v>
      </x:c>
      <x:c r="P26" s="52" t="str"/>
    </x:row>
    <x:row r="27" ht="54" customHeight="1">
      <x:c r="A27" s="54" t="n">
        <x:v>26</x:v>
      </x:c>
      <x:c r="B27" s="54" t="str">
        <x:v>IT-026</x:v>
      </x:c>
      <x:c r="C27" s="54" t="str">
        <x:v>結合テスト</x:v>
      </x:c>
      <x:c r="D27" s="52" t="str">
        <x:v>UI連携</x:v>
      </x:c>
      <x:c r="E27" s="52" t="str">
        <x:v>画面回転/横向き</x:v>
      </x:c>
      <x:c r="F27" s="52" t="str">
        <x:v>横向き表示で入力・確認が崩れないこと</x:v>
      </x:c>
      <x:c r="G27" s="52" t="str">
        <x:v>タブレット横向き</x:v>
      </x:c>
      <x:c r="H27" s="52" t="str">
        <x:v>ログイン、読取、確認、一覧を表示</x:v>
      </x:c>
      <x:c r="I27" s="52" t="str">
        <x:v>主要ボタン・項目が画面内で操作できる</x:v>
      </x:c>
      <x:c r="J27" s="54" t="str">
        <x:v>未実施</x:v>
      </x:c>
      <x:c r="K27" s="56" t="str"/>
      <x:c r="L27" s="54" t="str"/>
      <x:c r="M27" s="54" t="str"/>
      <x:c r="N27" s="54" t="str"/>
      <x:c r="O27" s="54" t="str">
        <x:v>中</x:v>
      </x:c>
      <x:c r="P27" s="52" t="str"/>
    </x:row>
    <x:row r="28" ht="54" customHeight="1">
      <x:c r="A28" s="54" t="n">
        <x:v>27</x:v>
      </x:c>
      <x:c r="B28" s="54" t="str">
        <x:v>IT-027</x:v>
      </x:c>
      <x:c r="C28" s="54" t="str">
        <x:v>結合テスト</x:v>
      </x:c>
      <x:c r="D28" s="52" t="str">
        <x:v>API×DB</x:v>
      </x:c>
      <x:c r="E28" s="52" t="str">
        <x:v>重複登録</x:v>
      </x:c>
      <x:c r="F28" s="52" t="str">
        <x:v>同一カードを連続送信した場合の扱いを確認すること</x:v>
      </x:c>
      <x:c r="G28" s="52" t="str">
        <x:v>同一カード読取済み</x:v>
      </x:c>
      <x:c r="H28" s="52" t="str">
        <x:v>短時間で2回送信する</x:v>
      </x:c>
      <x:c r="I28" s="52" t="str">
        <x:v>仕様通りに2件登録または重複防止される。想定外の二重登録がない</x:v>
      </x:c>
      <x:c r="J28" s="54" t="str">
        <x:v>未実施</x:v>
      </x:c>
      <x:c r="K28" s="56" t="str"/>
      <x:c r="L28" s="54" t="str"/>
      <x:c r="M28" s="54" t="str"/>
      <x:c r="N28" s="54" t="str"/>
      <x:c r="O28" s="54" t="str">
        <x:v>中</x:v>
      </x:c>
      <x:c r="P28" s="52" t="str">
        <x:v>重複制御の要否を確認</x:v>
      </x:c>
    </x:row>
    <x:row r="29" ht="54" customHeight="1">
      <x:c r="A29" s="54" t="n">
        <x:v>28</x:v>
      </x:c>
      <x:c r="B29" s="54" t="str">
        <x:v>IT-028</x:v>
      </x:c>
      <x:c r="C29" s="54" t="str">
        <x:v>結合テスト</x:v>
      </x:c>
      <x:c r="D29" s="52" t="str">
        <x:v>API×DB</x:v>
      </x:c>
      <x:c r="E29" s="52" t="str">
        <x:v>submitted_at</x:v>
      </x:c>
      <x:c r="F29" s="52" t="str">
        <x:v>登録日時がサーバー時刻で保存されること</x:v>
      </x:c>
      <x:c r="G29" s="52" t="str">
        <x:v>サーバー時刻を確認</x:v>
      </x:c>
      <x:c r="H29" s="52" t="str">
        <x:v>カードデータを送信</x:v>
      </x:c>
      <x:c r="I29" s="52" t="str">
        <x:v>submitted_at が送信時刻に近い値で保存される</x:v>
      </x:c>
      <x:c r="J29" s="54" t="str">
        <x:v>未実施</x:v>
      </x:c>
      <x:c r="K29" s="56" t="str"/>
      <x:c r="L29" s="54" t="str"/>
      <x:c r="M29" s="54" t="str"/>
      <x:c r="N29" s="54" t="str"/>
      <x:c r="O29" s="54" t="str">
        <x:v>中</x:v>
      </x:c>
      <x:c r="P29" s="52" t="str"/>
    </x:row>
    <x:row r="30" ht="54" customHeight="1">
      <x:c r="A30" s="54" t="n">
        <x:v>29</x:v>
      </x:c>
      <x:c r="B30" s="54" t="str">
        <x:v>IT-029</x:v>
      </x:c>
      <x:c r="C30" s="54" t="str">
        <x:v>結合テスト</x:v>
      </x:c>
      <x:c r="D30" s="52" t="str">
        <x:v>API×DB</x:v>
      </x:c>
      <x:c r="E30" s="52" t="str">
        <x:v>一覧ソート</x:v>
      </x:c>
      <x:c r="F30" s="52" t="str">
        <x:v>新しい登録が上位に表示されること</x:v>
      </x:c>
      <x:c r="G30" s="52" t="str">
        <x:v>複数件を時刻差で登録</x:v>
      </x:c>
      <x:c r="H30" s="52" t="str">
        <x:v>記録一覧を表示</x:v>
      </x:c>
      <x:c r="I30" s="52" t="str">
        <x:v>submitted_at 降順で表示される</x:v>
      </x:c>
      <x:c r="J30" s="54" t="str">
        <x:v>未実施</x:v>
      </x:c>
      <x:c r="K30" s="56" t="str"/>
      <x:c r="L30" s="54" t="str"/>
      <x:c r="M30" s="54" t="str"/>
      <x:c r="N30" s="54" t="str"/>
      <x:c r="O30" s="54" t="str">
        <x:v>中</x:v>
      </x:c>
      <x:c r="P30" s="52" t="str"/>
    </x:row>
  </x:sheetData>
  <x:dataValidations count="2">
    <x:dataValidation type="list" allowBlank="1" showDropDown="0" sqref="J2:J200">
      <x:formula1>"未実施,OK,NG,保留,対象外"</x:formula1>
    </x:dataValidation>
    <x:dataValidation type="list" allowBlank="1" showDropDown="0" sqref="O2:O200">
      <x:formula1>"高,中,低"</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6" hidden="0" customWidth="1"/>
    <x:col min="2" max="2" width="10" hidden="0" customWidth="1"/>
    <x:col min="3" max="3" width="15" hidden="0" customWidth="1"/>
    <x:col min="4" max="4" width="16" hidden="0" customWidth="1"/>
    <x:col min="5" max="5" width="22" hidden="0" customWidth="1"/>
    <x:col min="6" max="6" width="24" hidden="0" customWidth="1"/>
    <x:col min="7" max="7" width="30" hidden="0" customWidth="1"/>
    <x:col min="8" max="8" width="38" hidden="0" customWidth="1"/>
    <x:col min="9" max="9" width="40" hidden="0" customWidth="1"/>
    <x:col min="10" max="10" width="12" hidden="0" customWidth="1"/>
    <x:col min="11" max="11" width="12" hidden="0" customWidth="1"/>
    <x:col min="12" max="12" width="14" hidden="0" customWidth="1"/>
    <x:col min="13" max="13" width="20" hidden="0" customWidth="1"/>
    <x:col min="14" max="14" width="14" hidden="0" customWidth="1"/>
    <x:col min="15" max="15" width="10" hidden="0" customWidth="1"/>
    <x:col min="16" max="16" width="22" hidden="0" customWidth="1"/>
  </x:cols>
  <x:sheetData>
    <x:row r="1" ht="30" customHeight="1">
      <x:c r="A1" s="28" t="str">
        <x:v>No.</x:v>
      </x:c>
      <x:c r="B1" s="28" t="str">
        <x:v>テストID</x:v>
      </x:c>
      <x:c r="C1" s="28" t="str">
        <x:v>工程</x:v>
      </x:c>
      <x:c r="D1" s="28" t="str">
        <x:v>大分類</x:v>
      </x:c>
      <x:c r="E1" s="28" t="str">
        <x:v>対象機能/モジュール</x:v>
      </x:c>
      <x:c r="F1" s="28" t="str">
        <x:v>試験観点</x:v>
      </x:c>
      <x:c r="G1" s="28" t="str">
        <x:v>前提条件</x:v>
      </x:c>
      <x:c r="H1" s="28" t="str">
        <x:v>操作手順</x:v>
      </x:c>
      <x:c r="I1" s="28" t="str">
        <x:v>確認内容・期待結果</x:v>
      </x:c>
      <x:c r="J1" s="28" t="str">
        <x:v>結果</x:v>
      </x:c>
      <x:c r="K1" s="28" t="str">
        <x:v>実施日</x:v>
      </x:c>
      <x:c r="L1" s="28" t="str">
        <x:v>実施者</x:v>
      </x:c>
      <x:c r="M1" s="28" t="str">
        <x:v>エビデンス</x:v>
      </x:c>
      <x:c r="N1" s="28" t="str">
        <x:v>不具合票</x:v>
      </x:c>
      <x:c r="O1" s="28" t="str">
        <x:v>優先度</x:v>
      </x:c>
      <x:c r="P1" s="28" t="str">
        <x:v>備考</x:v>
      </x:c>
    </x:row>
    <x:row r="2" ht="54" customHeight="1">
      <x:c r="A2" s="54" t="n">
        <x:v>1</x:v>
      </x:c>
      <x:c r="B2" s="54" t="str">
        <x:v>ST-001</x:v>
      </x:c>
      <x:c r="C2" s="54" t="str">
        <x:v>総合テスト</x:v>
      </x:c>
      <x:c r="D2" s="52" t="str">
        <x:v>業務シナリオ</x:v>
      </x:c>
      <x:c r="E2" s="52" t="str">
        <x:v>初回利用</x:v>
      </x:c>
      <x:c r="F2" s="52" t="str">
        <x:v>初期導入後、管理者がユーザーを準備し利用者が初回ログインできること</x:v>
      </x:c>
      <x:c r="G2" s="52" t="str">
        <x:v>DBマイグレーション/seedまたはユーザー登録済み</x:v>
      </x:c>
      <x:c r="H2" s="52" t="str">
        <x:v>サーバー起動→APK起動→ログイン</x:v>
      </x:c>
      <x:c r="I2" s="52" t="str">
        <x:v>利用者がスキャン画面まで到達できる</x:v>
      </x:c>
      <x:c r="J2" s="54" t="str">
        <x:v>未実施</x:v>
      </x:c>
      <x:c r="K2" s="56" t="str"/>
      <x:c r="L2" s="54" t="str"/>
      <x:c r="M2" s="54" t="str"/>
      <x:c r="N2" s="54" t="str"/>
      <x:c r="O2" s="54" t="str">
        <x:v>高</x:v>
      </x:c>
      <x:c r="P2" s="52" t="str"/>
    </x:row>
    <x:row r="3" ht="54" customHeight="1">
      <x:c r="A3" s="54" t="n">
        <x:v>2</x:v>
      </x:c>
      <x:c r="B3" s="54" t="str">
        <x:v>ST-002</x:v>
      </x:c>
      <x:c r="C3" s="54" t="str">
        <x:v>総合テスト</x:v>
      </x:c>
      <x:c r="D3" s="52" t="str">
        <x:v>業務シナリオ</x:v>
      </x:c>
      <x:c r="E3" s="52" t="str">
        <x:v>マイナンバーカード受付</x:v>
      </x:c>
      <x:c r="F3" s="52" t="str">
        <x:v>実運用想定のマイナンバーカード受付が完了すること</x:v>
      </x:c>
      <x:c r="G3" s="52" t="str">
        <x:v>本番同等ネットワーク、実タブレット</x:v>
      </x:c>
      <x:c r="H3" s="52" t="str">
        <x:v>ログイン→カードタッチ→PIN入力→確認→送信→一覧確認</x:v>
      </x:c>
      <x:c r="I3" s="52" t="str">
        <x:v>受付者本人の一覧に登録内容が表示される</x:v>
      </x:c>
      <x:c r="J3" s="54" t="str">
        <x:v>未実施</x:v>
      </x:c>
      <x:c r="K3" s="56" t="str"/>
      <x:c r="L3" s="54" t="str"/>
      <x:c r="M3" s="54" t="str"/>
      <x:c r="N3" s="54" t="str"/>
      <x:c r="O3" s="54" t="str">
        <x:v>高</x:v>
      </x:c>
      <x:c r="P3" s="52" t="str"/>
    </x:row>
    <x:row r="4" ht="54" customHeight="1">
      <x:c r="A4" s="54" t="n">
        <x:v>3</x:v>
      </x:c>
      <x:c r="B4" s="54" t="str">
        <x:v>ST-003</x:v>
      </x:c>
      <x:c r="C4" s="54" t="str">
        <x:v>総合テスト</x:v>
      </x:c>
      <x:c r="D4" s="52" t="str">
        <x:v>業務シナリオ</x:v>
      </x:c>
      <x:c r="E4" s="52" t="str">
        <x:v>運転免許証受付</x:v>
      </x:c>
      <x:c r="F4" s="52" t="str">
        <x:v>実運用想定の運転免許証受付が完了すること</x:v>
      </x:c>
      <x:c r="G4" s="52" t="str">
        <x:v>本番同等ネットワーク、実タブレット</x:v>
      </x:c>
      <x:c r="H4" s="52" t="str">
        <x:v>ログイン→カードタッチ→暗証番号入力→確認→送信→一覧確認</x:v>
      </x:c>
      <x:c r="I4" s="52" t="str">
        <x:v>受付者本人の一覧に登録内容が表示される</x:v>
      </x:c>
      <x:c r="J4" s="54" t="str">
        <x:v>未実施</x:v>
      </x:c>
      <x:c r="K4" s="56" t="str"/>
      <x:c r="L4" s="54" t="str"/>
      <x:c r="M4" s="54" t="str"/>
      <x:c r="N4" s="54" t="str"/>
      <x:c r="O4" s="54" t="str">
        <x:v>高</x:v>
      </x:c>
      <x:c r="P4" s="52" t="str"/>
    </x:row>
    <x:row r="5" ht="54" customHeight="1">
      <x:c r="A5" s="54" t="n">
        <x:v>4</x:v>
      </x:c>
      <x:c r="B5" s="54" t="str">
        <x:v>ST-004</x:v>
      </x:c>
      <x:c r="C5" s="54" t="str">
        <x:v>総合テスト</x:v>
      </x:c>
      <x:c r="D5" s="52" t="str">
        <x:v>業務シナリオ</x:v>
      </x:c>
      <x:c r="E5" s="52" t="str">
        <x:v>利用者間分離</x:v>
      </x:c>
      <x:c r="F5" s="52" t="str">
        <x:v>複数職員が同時に登録しても自分のデータのみ扱えること</x:v>
      </x:c>
      <x:c r="G5" s="52" t="str">
        <x:v>ユーザーA/B、タブレット2台またはブラウザ2つ</x:v>
      </x:c>
      <x:c r="H5" s="52" t="str">
        <x:v>同時に読取/登録/一覧確認を行う</x:v>
      </x:c>
      <x:c r="I5" s="52" t="str">
        <x:v>各利用者は自分の登録分のみ表示される</x:v>
      </x:c>
      <x:c r="J5" s="54" t="str">
        <x:v>未実施</x:v>
      </x:c>
      <x:c r="K5" s="56" t="str"/>
      <x:c r="L5" s="54" t="str"/>
      <x:c r="M5" s="54" t="str"/>
      <x:c r="N5" s="54" t="str"/>
      <x:c r="O5" s="54" t="str">
        <x:v>高</x:v>
      </x:c>
      <x:c r="P5" s="52" t="str"/>
    </x:row>
    <x:row r="6" ht="54" customHeight="1">
      <x:c r="A6" s="54" t="n">
        <x:v>5</x:v>
      </x:c>
      <x:c r="B6" s="54" t="str">
        <x:v>ST-005</x:v>
      </x:c>
      <x:c r="C6" s="54" t="str">
        <x:v>総合テスト</x:v>
      </x:c>
      <x:c r="D6" s="52" t="str">
        <x:v>業務シナリオ</x:v>
      </x:c>
      <x:c r="E6" s="52" t="str">
        <x:v>登録後確認</x:v>
      </x:c>
      <x:c r="F6" s="52" t="str">
        <x:v>登録後に一覧検索で該当者を探せること</x:v>
      </x:c>
      <x:c r="G6" s="52" t="str">
        <x:v>複数件登録済み</x:v>
      </x:c>
      <x:c r="H6" s="52" t="str">
        <x:v>氏名/フリガナ/住所で検索する</x:v>
      </x:c>
      <x:c r="I6" s="52" t="str">
        <x:v>該当データを見つけ、詳細を確認できる</x:v>
      </x:c>
      <x:c r="J6" s="54" t="str">
        <x:v>未実施</x:v>
      </x:c>
      <x:c r="K6" s="56" t="str"/>
      <x:c r="L6" s="54" t="str"/>
      <x:c r="M6" s="54" t="str"/>
      <x:c r="N6" s="54" t="str"/>
      <x:c r="O6" s="54" t="str">
        <x:v>中</x:v>
      </x:c>
      <x:c r="P6" s="52" t="str"/>
    </x:row>
    <x:row r="7" ht="54" customHeight="1">
      <x:c r="A7" s="54" t="n">
        <x:v>6</x:v>
      </x:c>
      <x:c r="B7" s="54" t="str">
        <x:v>ST-006</x:v>
      </x:c>
      <x:c r="C7" s="54" t="str">
        <x:v>総合テスト</x:v>
      </x:c>
      <x:c r="D7" s="52" t="str">
        <x:v>業務シナリオ</x:v>
      </x:c>
      <x:c r="E7" s="52" t="str">
        <x:v>登録キャンセル</x:v>
      </x:c>
      <x:c r="F7" s="52" t="str">
        <x:v>利用者が確認画面でキャンセルした場合に業務上問題なく戻れること</x:v>
      </x:c>
      <x:c r="G7" s="52" t="str">
        <x:v>カード読取済み</x:v>
      </x:c>
      <x:c r="H7" s="52" t="str">
        <x:v>確認内容不一致としてキャンセル</x:v>
      </x:c>
      <x:c r="I7" s="52" t="str">
        <x:v>データ登録されず、再スキャンできる</x:v>
      </x:c>
      <x:c r="J7" s="54" t="str">
        <x:v>未実施</x:v>
      </x:c>
      <x:c r="K7" s="56" t="str"/>
      <x:c r="L7" s="54" t="str"/>
      <x:c r="M7" s="54" t="str"/>
      <x:c r="N7" s="54" t="str"/>
      <x:c r="O7" s="54" t="str">
        <x:v>高</x:v>
      </x:c>
      <x:c r="P7" s="52" t="str"/>
    </x:row>
    <x:row r="8" ht="54" customHeight="1">
      <x:c r="A8" s="54" t="n">
        <x:v>7</x:v>
      </x:c>
      <x:c r="B8" s="54" t="str">
        <x:v>ST-007</x:v>
      </x:c>
      <x:c r="C8" s="54" t="str">
        <x:v>総合テスト</x:v>
      </x:c>
      <x:c r="D8" s="52" t="str">
        <x:v>業務シナリオ</x:v>
      </x:c>
      <x:c r="E8" s="52" t="str">
        <x:v>PIN誤入力</x:v>
      </x:c>
      <x:c r="F8" s="52" t="str">
        <x:v>PIN誤入力時の窓口対応が可能であること</x:v>
      </x:c>
      <x:c r="G8" s="52" t="str">
        <x:v>検証カード、誤PINを使用</x:v>
      </x:c>
      <x:c r="H8" s="52" t="str">
        <x:v>誤PINを入力する</x:v>
      </x:c>
      <x:c r="I8" s="52" t="str">
        <x:v>残回数等のメッセージを確認し、業務手順に従い再入力/中止できる</x:v>
      </x:c>
      <x:c r="J8" s="54" t="str">
        <x:v>未実施</x:v>
      </x:c>
      <x:c r="K8" s="56" t="str"/>
      <x:c r="L8" s="54" t="str"/>
      <x:c r="M8" s="54" t="str"/>
      <x:c r="N8" s="54" t="str"/>
      <x:c r="O8" s="54" t="str">
        <x:v>高</x:v>
      </x:c>
      <x:c r="P8" s="52" t="str"/>
    </x:row>
    <x:row r="9" ht="54" customHeight="1">
      <x:c r="A9" s="54" t="n">
        <x:v>8</x:v>
      </x:c>
      <x:c r="B9" s="54" t="str">
        <x:v>ST-008</x:v>
      </x:c>
      <x:c r="C9" s="54" t="str">
        <x:v>総合テスト</x:v>
      </x:c>
      <x:c r="D9" s="52" t="str">
        <x:v>業務シナリオ</x:v>
      </x:c>
      <x:c r="E9" s="52" t="str">
        <x:v>カード非対応</x:v>
      </x:c>
      <x:c r="F9" s="52" t="str">
        <x:v>非対応カード提示時に利用者へ説明できること</x:v>
      </x:c>
      <x:c r="G9" s="52" t="str">
        <x:v>非対応カードを用意</x:v>
      </x:c>
      <x:c r="H9" s="52" t="str">
        <x:v>カードをタッチ</x:v>
      </x:c>
      <x:c r="I9" s="52" t="str">
        <x:v>非対応メッセージが表示され、業務担当者が次操作に移れる</x:v>
      </x:c>
      <x:c r="J9" s="54" t="str">
        <x:v>未実施</x:v>
      </x:c>
      <x:c r="K9" s="56" t="str"/>
      <x:c r="L9" s="54" t="str"/>
      <x:c r="M9" s="54" t="str"/>
      <x:c r="N9" s="54" t="str"/>
      <x:c r="O9" s="54" t="str">
        <x:v>中</x:v>
      </x:c>
      <x:c r="P9" s="52" t="str"/>
    </x:row>
    <x:row r="10" ht="54" customHeight="1">
      <x:c r="A10" s="54" t="n">
        <x:v>9</x:v>
      </x:c>
      <x:c r="B10" s="54" t="str">
        <x:v>ST-009</x:v>
      </x:c>
      <x:c r="C10" s="54" t="str">
        <x:v>総合テスト</x:v>
      </x:c>
      <x:c r="D10" s="52" t="str">
        <x:v>業務シナリオ</x:v>
      </x:c>
      <x:c r="E10" s="52" t="str">
        <x:v>サーバー停止</x:v>
      </x:c>
      <x:c r="F10" s="52" t="str">
        <x:v>サーバー停止時の窓口影響を確認すること</x:v>
      </x:c>
      <x:c r="G10" s="52" t="str">
        <x:v>Laravelサーバー停止</x:v>
      </x:c>
      <x:c r="H10" s="52" t="str">
        <x:v>APK起動または送信操作</x:v>
      </x:c>
      <x:c r="I10" s="52" t="str">
        <x:v>接続不可が判別でき、業務担当者が代替手順へ移れる</x:v>
      </x:c>
      <x:c r="J10" s="54" t="str">
        <x:v>未実施</x:v>
      </x:c>
      <x:c r="K10" s="56" t="str"/>
      <x:c r="L10" s="54" t="str"/>
      <x:c r="M10" s="54" t="str"/>
      <x:c r="N10" s="54" t="str"/>
      <x:c r="O10" s="54" t="str">
        <x:v>高</x:v>
      </x:c>
      <x:c r="P10" s="52" t="str"/>
    </x:row>
    <x:row r="11" ht="54" customHeight="1">
      <x:c r="A11" s="54" t="n">
        <x:v>10</x:v>
      </x:c>
      <x:c r="B11" s="54" t="str">
        <x:v>ST-010</x:v>
      </x:c>
      <x:c r="C11" s="54" t="str">
        <x:v>総合テスト</x:v>
      </x:c>
      <x:c r="D11" s="52" t="str">
        <x:v>業務シナリオ</x:v>
      </x:c>
      <x:c r="E11" s="52" t="str">
        <x:v>ネットワーク不安定</x:v>
      </x:c>
      <x:c r="F11" s="52" t="str">
        <x:v>通信が一時的に不安定な場合の復旧確認</x:v>
      </x:c>
      <x:c r="G11" s="52" t="str">
        <x:v>無線LAN切断/復旧できる環境</x:v>
      </x:c>
      <x:c r="H11" s="52" t="str">
        <x:v>送信前後でネットワークを切断・復旧</x:v>
      </x:c>
      <x:c r="I11" s="52" t="str">
        <x:v>重複や消失がないことを確認し、再送可否が明確である</x:v>
      </x:c>
      <x:c r="J11" s="54" t="str">
        <x:v>未実施</x:v>
      </x:c>
      <x:c r="K11" s="56" t="str"/>
      <x:c r="L11" s="54" t="str"/>
      <x:c r="M11" s="54" t="str"/>
      <x:c r="N11" s="54" t="str"/>
      <x:c r="O11" s="54" t="str">
        <x:v>高</x:v>
      </x:c>
      <x:c r="P11" s="52" t="str"/>
    </x:row>
    <x:row r="12" ht="54" customHeight="1">
      <x:c r="A12" s="54" t="n">
        <x:v>11</x:v>
      </x:c>
      <x:c r="B12" s="54" t="str">
        <x:v>ST-011</x:v>
      </x:c>
      <x:c r="C12" s="54" t="str">
        <x:v>総合テスト</x:v>
      </x:c>
      <x:c r="D12" s="52" t="str">
        <x:v>利用性</x:v>
      </x:c>
      <x:c r="E12" s="52" t="str">
        <x:v>タブレット操作</x:v>
      </x:c>
      <x:c r="F12" s="52" t="str">
        <x:v>タッチ操作だけで一連の処理が完了すること</x:v>
      </x:c>
      <x:c r="G12" s="52" t="str">
        <x:v>実タブレット</x:v>
      </x:c>
      <x:c r="H12" s="52" t="str">
        <x:v>ログイン、読取、確認、送信、一覧閲覧を実施</x:v>
      </x:c>
      <x:c r="I12" s="52" t="str">
        <x:v>キーボードや開発者操作なしで業務完了できる</x:v>
      </x:c>
      <x:c r="J12" s="54" t="str">
        <x:v>未実施</x:v>
      </x:c>
      <x:c r="K12" s="56" t="str"/>
      <x:c r="L12" s="54" t="str"/>
      <x:c r="M12" s="54" t="str"/>
      <x:c r="N12" s="54" t="str"/>
      <x:c r="O12" s="54" t="str">
        <x:v>中</x:v>
      </x:c>
      <x:c r="P12" s="52" t="str"/>
    </x:row>
    <x:row r="13" ht="54" customHeight="1">
      <x:c r="A13" s="54" t="n">
        <x:v>12</x:v>
      </x:c>
      <x:c r="B13" s="54" t="str">
        <x:v>ST-012</x:v>
      </x:c>
      <x:c r="C13" s="54" t="str">
        <x:v>総合テスト</x:v>
      </x:c>
      <x:c r="D13" s="52" t="str">
        <x:v>利用性</x:v>
      </x:c>
      <x:c r="E13" s="52" t="str">
        <x:v>画面視認性</x:v>
      </x:c>
      <x:c r="F13" s="52" t="str">
        <x:v>横向きタブレットで文字・ボタンが読みやすいこと</x:v>
      </x:c>
      <x:c r="G13" s="52" t="str">
        <x:v>本番想定タブレット</x:v>
      </x:c>
      <x:c r="H13" s="52" t="str">
        <x:v>各画面を表示</x:v>
      </x:c>
      <x:c r="I13" s="52" t="str">
        <x:v>主要項目・エラー・ボタンが判読できる</x:v>
      </x:c>
      <x:c r="J13" s="54" t="str">
        <x:v>未実施</x:v>
      </x:c>
      <x:c r="K13" s="56" t="str"/>
      <x:c r="L13" s="54" t="str"/>
      <x:c r="M13" s="54" t="str"/>
      <x:c r="N13" s="54" t="str"/>
      <x:c r="O13" s="54" t="str">
        <x:v>中</x:v>
      </x:c>
      <x:c r="P13" s="52" t="str"/>
    </x:row>
    <x:row r="14" ht="54" customHeight="1">
      <x:c r="A14" s="54" t="n">
        <x:v>13</x:v>
      </x:c>
      <x:c r="B14" s="54" t="str">
        <x:v>ST-013</x:v>
      </x:c>
      <x:c r="C14" s="54" t="str">
        <x:v>総合テスト</x:v>
      </x:c>
      <x:c r="D14" s="52" t="str">
        <x:v>利用性</x:v>
      </x:c>
      <x:c r="E14" s="52" t="str">
        <x:v>エラーメッセージ</x:v>
      </x:c>
      <x:c r="F14" s="52" t="str">
        <x:v>利用者/職員が次の行動を判断できるエラー文であること</x:v>
      </x:c>
      <x:c r="G14" s="52" t="str">
        <x:v>正常/異常ケースを準備</x:v>
      </x:c>
      <x:c r="H14" s="52" t="str">
        <x:v>PIN誤り、通信断、未対応カード等を発生</x:v>
      </x:c>
      <x:c r="I14" s="52" t="str">
        <x:v>原因と次操作が分かる文言で表示される</x:v>
      </x:c>
      <x:c r="J14" s="54" t="str">
        <x:v>未実施</x:v>
      </x:c>
      <x:c r="K14" s="56" t="str"/>
      <x:c r="L14" s="54" t="str"/>
      <x:c r="M14" s="54" t="str"/>
      <x:c r="N14" s="54" t="str"/>
      <x:c r="O14" s="54" t="str">
        <x:v>中</x:v>
      </x:c>
      <x:c r="P14" s="52" t="str"/>
    </x:row>
    <x:row r="15" ht="54" customHeight="1">
      <x:c r="A15" s="54" t="n">
        <x:v>14</x:v>
      </x:c>
      <x:c r="B15" s="54" t="str">
        <x:v>ST-014</x:v>
      </x:c>
      <x:c r="C15" s="54" t="str">
        <x:v>総合テスト</x:v>
      </x:c>
      <x:c r="D15" s="52" t="str">
        <x:v>性能</x:v>
      </x:c>
      <x:c r="E15" s="52" t="str">
        <x:v>登録レスポンス</x:v>
      </x:c>
      <x:c r="F15" s="52" t="str">
        <x:v>通常利用時の送信レスポンスが許容範囲内であること</x:v>
      </x:c>
      <x:c r="G15" s="52" t="str">
        <x:v>本番同等DB/ネットワーク</x:v>
      </x:c>
      <x:c r="H15" s="52" t="str">
        <x:v>カード読取後に送信し、応答時間を計測</x:v>
      </x:c>
      <x:c r="I15" s="52" t="str">
        <x:v>業務上許容できる時間内に完了する</x:v>
      </x:c>
      <x:c r="J15" s="54" t="str">
        <x:v>未実施</x:v>
      </x:c>
      <x:c r="K15" s="56" t="str"/>
      <x:c r="L15" s="54" t="str"/>
      <x:c r="M15" s="54" t="str"/>
      <x:c r="N15" s="54" t="str"/>
      <x:c r="O15" s="54" t="str">
        <x:v>中</x:v>
      </x:c>
      <x:c r="P15" s="52" t="str">
        <x:v>目標値未定なら測定値を記録</x:v>
      </x:c>
    </x:row>
    <x:row r="16" ht="54" customHeight="1">
      <x:c r="A16" s="54" t="n">
        <x:v>15</x:v>
      </x:c>
      <x:c r="B16" s="54" t="str">
        <x:v>ST-015</x:v>
      </x:c>
      <x:c r="C16" s="54" t="str">
        <x:v>総合テスト</x:v>
      </x:c>
      <x:c r="D16" s="52" t="str">
        <x:v>性能</x:v>
      </x:c>
      <x:c r="E16" s="52" t="str">
        <x:v>一覧レスポンス</x:v>
      </x:c>
      <x:c r="F16" s="52" t="str">
        <x:v>200件規模で一覧検索が許容範囲内であること</x:v>
      </x:c>
      <x:c r="G16" s="52" t="str">
        <x:v>200件以上のデータを投入</x:v>
      </x:c>
      <x:c r="H16" s="52" t="str">
        <x:v>一覧表示/検索を実施し時間を計測</x:v>
      </x:c>
      <x:c r="I16" s="52" t="str">
        <x:v>業務上許容できる時間内に表示される</x:v>
      </x:c>
      <x:c r="J16" s="54" t="str">
        <x:v>未実施</x:v>
      </x:c>
      <x:c r="K16" s="56" t="str"/>
      <x:c r="L16" s="54" t="str"/>
      <x:c r="M16" s="54" t="str"/>
      <x:c r="N16" s="54" t="str"/>
      <x:c r="O16" s="54" t="str">
        <x:v>中</x:v>
      </x:c>
      <x:c r="P16" s="52" t="str"/>
    </x:row>
    <x:row r="17" ht="54" customHeight="1">
      <x:c r="A17" s="54" t="n">
        <x:v>16</x:v>
      </x:c>
      <x:c r="B17" s="54" t="str">
        <x:v>ST-016</x:v>
      </x:c>
      <x:c r="C17" s="54" t="str">
        <x:v>総合テスト</x:v>
      </x:c>
      <x:c r="D17" s="52" t="str">
        <x:v>性能</x:v>
      </x:c>
      <x:c r="E17" s="52" t="str">
        <x:v>連続受付</x:v>
      </x:c>
      <x:c r="F17" s="52" t="str">
        <x:v>連続して複数人を受付できること</x:v>
      </x:c>
      <x:c r="G17" s="52" t="str">
        <x:v>10件程度の連続受付データを用意</x:v>
      </x:c>
      <x:c r="H17" s="52" t="str">
        <x:v>読取→送信を連続実施</x:v>
      </x:c>
      <x:c r="I17" s="52" t="str">
        <x:v>アプリ再起動なしで連続受付できる</x:v>
      </x:c>
      <x:c r="J17" s="54" t="str">
        <x:v>未実施</x:v>
      </x:c>
      <x:c r="K17" s="56" t="str"/>
      <x:c r="L17" s="54" t="str"/>
      <x:c r="M17" s="54" t="str"/>
      <x:c r="N17" s="54" t="str"/>
      <x:c r="O17" s="54" t="str">
        <x:v>高</x:v>
      </x:c>
      <x:c r="P17" s="52" t="str"/>
    </x:row>
    <x:row r="18" ht="54" customHeight="1">
      <x:c r="A18" s="54" t="n">
        <x:v>17</x:v>
      </x:c>
      <x:c r="B18" s="54" t="str">
        <x:v>ST-017</x:v>
      </x:c>
      <x:c r="C18" s="54" t="str">
        <x:v>総合テスト</x:v>
      </x:c>
      <x:c r="D18" s="52" t="str">
        <x:v>互換性</x:v>
      </x:c>
      <x:c r="E18" s="52" t="str">
        <x:v>Android端末</x:v>
      </x:c>
      <x:c r="F18" s="52" t="str">
        <x:v>対象Androidタブレットで動作すること</x:v>
      </x:c>
      <x:c r="G18" s="52" t="str">
        <x:v>対象機種/OSバージョンを用意</x:v>
      </x:c>
      <x:c r="H18" s="52" t="str">
        <x:v>全主要シナリオを実施</x:v>
      </x:c>
      <x:c r="I18" s="52" t="str">
        <x:v>対象端末で表示・NFC読取・送信が正常動作する</x:v>
      </x:c>
      <x:c r="J18" s="54" t="str">
        <x:v>未実施</x:v>
      </x:c>
      <x:c r="K18" s="56" t="str"/>
      <x:c r="L18" s="54" t="str"/>
      <x:c r="M18" s="54" t="str"/>
      <x:c r="N18" s="54" t="str"/>
      <x:c r="O18" s="54" t="str">
        <x:v>高</x:v>
      </x:c>
      <x:c r="P18" s="52" t="str"/>
    </x:row>
    <x:row r="19" ht="54" customHeight="1">
      <x:c r="A19" s="54" t="n">
        <x:v>18</x:v>
      </x:c>
      <x:c r="B19" s="54" t="str">
        <x:v>ST-018</x:v>
      </x:c>
      <x:c r="C19" s="54" t="str">
        <x:v>総合テスト</x:v>
      </x:c>
      <x:c r="D19" s="52" t="str">
        <x:v>互換性</x:v>
      </x:c>
      <x:c r="E19" s="52" t="str">
        <x:v>PCブラウザ</x:v>
      </x:c>
      <x:c r="F19" s="52" t="str">
        <x:v>PCブラウザで記録一覧確認ができること</x:v>
      </x:c>
      <x:c r="G19" s="52" t="str">
        <x:v>職員PC/管理PCを用意</x:v>
      </x:c>
      <x:c r="H19" s="52" t="str">
        <x:v>ブラウザでログインし記録一覧を開く</x:v>
      </x:c>
      <x:c r="I19" s="52" t="str">
        <x:v>一覧検索/詳細表示が可能である</x:v>
      </x:c>
      <x:c r="J19" s="54" t="str">
        <x:v>未実施</x:v>
      </x:c>
      <x:c r="K19" s="56" t="str"/>
      <x:c r="L19" s="54" t="str"/>
      <x:c r="M19" s="54" t="str"/>
      <x:c r="N19" s="54" t="str"/>
      <x:c r="O19" s="54" t="str">
        <x:v>低</x:v>
      </x:c>
      <x:c r="P19" s="52" t="str"/>
    </x:row>
    <x:row r="20" ht="54" customHeight="1">
      <x:c r="A20" s="54" t="n">
        <x:v>19</x:v>
      </x:c>
      <x:c r="B20" s="54" t="str">
        <x:v>ST-019</x:v>
      </x:c>
      <x:c r="C20" s="54" t="str">
        <x:v>総合テスト</x:v>
      </x:c>
      <x:c r="D20" s="52" t="str">
        <x:v>データ整合性</x:v>
      </x:c>
      <x:c r="E20" s="52" t="str">
        <x:v>保存項目</x:v>
      </x:c>
      <x:c r="F20" s="52" t="str">
        <x:v>DB保存項目が仕様と一致すること</x:v>
      </x:c>
      <x:c r="G20" s="52" t="str">
        <x:v>登録後DB確認可能</x:v>
      </x:c>
      <x:c r="H20" s="52" t="str">
        <x:v>複数カードを登録しDB列・値を確認</x:v>
      </x:c>
      <x:c r="I20" s="52" t="str">
        <x:v>保存対象項目のみ保持され、番号列が存在しない</x:v>
      </x:c>
      <x:c r="J20" s="54" t="str">
        <x:v>未実施</x:v>
      </x:c>
      <x:c r="K20" s="56" t="str"/>
      <x:c r="L20" s="54" t="str"/>
      <x:c r="M20" s="54" t="str"/>
      <x:c r="N20" s="54" t="str"/>
      <x:c r="O20" s="54" t="str">
        <x:v>高</x:v>
      </x:c>
      <x:c r="P20" s="52" t="str"/>
    </x:row>
    <x:row r="21" ht="54" customHeight="1">
      <x:c r="A21" s="54" t="n">
        <x:v>20</x:v>
      </x:c>
      <x:c r="B21" s="54" t="str">
        <x:v>ST-020</x:v>
      </x:c>
      <x:c r="C21" s="54" t="str">
        <x:v>総合テスト</x:v>
      </x:c>
      <x:c r="D21" s="52" t="str">
        <x:v>データ整合性</x:v>
      </x:c>
      <x:c r="E21" s="52" t="str">
        <x:v>文字種</x:v>
      </x:c>
      <x:c r="F21" s="52" t="str">
        <x:v>日本語氏名/住所/フリガナが文字化けしないこと</x:v>
      </x:c>
      <x:c r="G21" s="52" t="str">
        <x:v>日本語文字を含むカードまたはモック</x:v>
      </x:c>
      <x:c r="H21" s="52" t="str">
        <x:v>読取→送信→一覧表示→DB確認</x:v>
      </x:c>
      <x:c r="I21" s="52" t="str">
        <x:v>各画面・DBで文字化けしない</x:v>
      </x:c>
      <x:c r="J21" s="54" t="str">
        <x:v>未実施</x:v>
      </x:c>
      <x:c r="K21" s="56" t="str"/>
      <x:c r="L21" s="54" t="str"/>
      <x:c r="M21" s="54" t="str"/>
      <x:c r="N21" s="54" t="str"/>
      <x:c r="O21" s="54" t="str">
        <x:v>高</x:v>
      </x:c>
      <x:c r="P21" s="52" t="str"/>
    </x:row>
    <x:row r="22" ht="54" customHeight="1">
      <x:c r="A22" s="54" t="n">
        <x:v>21</x:v>
      </x:c>
      <x:c r="B22" s="54" t="str">
        <x:v>ST-021</x:v>
      </x:c>
      <x:c r="C22" s="54" t="str">
        <x:v>総合テスト</x:v>
      </x:c>
      <x:c r="D22" s="52" t="str">
        <x:v>データ整合性</x:v>
      </x:c>
      <x:c r="E22" s="52" t="str">
        <x:v>日付形式</x:v>
      </x:c>
      <x:c r="F22" s="52" t="str">
        <x:v>生年月日/有効期限が仕様通り表示・保存されること</x:v>
      </x:c>
      <x:c r="G22" s="52" t="str">
        <x:v>日付を持つカードを用意</x:v>
      </x:c>
      <x:c r="H22" s="52" t="str">
        <x:v>登録し画面/DBを確認</x:v>
      </x:c>
      <x:c r="I22" s="52" t="str">
        <x:v>YYYY/MM/DD等、仕様通りの形式になる</x:v>
      </x:c>
      <x:c r="J22" s="54" t="str">
        <x:v>未実施</x:v>
      </x:c>
      <x:c r="K22" s="56" t="str"/>
      <x:c r="L22" s="54" t="str"/>
      <x:c r="M22" s="54" t="str"/>
      <x:c r="N22" s="54" t="str"/>
      <x:c r="O22" s="54" t="str">
        <x:v>中</x:v>
      </x:c>
      <x:c r="P22" s="52" t="str"/>
    </x:row>
    <x:row r="23" ht="54" customHeight="1">
      <x:c r="A23" s="54" t="n">
        <x:v>22</x:v>
      </x:c>
      <x:c r="B23" s="54" t="str">
        <x:v>ST-022</x:v>
      </x:c>
      <x:c r="C23" s="54" t="str">
        <x:v>総合テスト</x:v>
      </x:c>
      <x:c r="D23" s="52" t="str">
        <x:v>障害時運用</x:v>
      </x:c>
      <x:c r="E23" s="52" t="str">
        <x:v>DB停止復旧</x:v>
      </x:c>
      <x:c r="F23" s="52" t="str">
        <x:v>DB停止後に復旧すれば再利用できること</x:v>
      </x:c>
      <x:c r="G23" s="52" t="str">
        <x:v>DB停止/復旧を実施可能</x:v>
      </x:c>
      <x:c r="H23" s="52" t="str">
        <x:v>停止中にエラー確認後、DB復旧して再登録</x:v>
      </x:c>
      <x:c r="I23" s="52" t="str">
        <x:v>復旧後に正常登録できる</x:v>
      </x:c>
      <x:c r="J23" s="54" t="str">
        <x:v>未実施</x:v>
      </x:c>
      <x:c r="K23" s="56" t="str"/>
      <x:c r="L23" s="54" t="str"/>
      <x:c r="M23" s="54" t="str"/>
      <x:c r="N23" s="54" t="str"/>
      <x:c r="O23" s="54" t="str">
        <x:v>高</x:v>
      </x:c>
      <x:c r="P23" s="52" t="str"/>
    </x:row>
    <x:row r="24" ht="54" customHeight="1">
      <x:c r="A24" s="54" t="n">
        <x:v>23</x:v>
      </x:c>
      <x:c r="B24" s="54" t="str">
        <x:v>ST-023</x:v>
      </x:c>
      <x:c r="C24" s="54" t="str">
        <x:v>総合テスト</x:v>
      </x:c>
      <x:c r="D24" s="52" t="str">
        <x:v>障害時運用</x:v>
      </x:c>
      <x:c r="E24" s="52" t="str">
        <x:v>Webサーバー再起動</x:v>
      </x:c>
      <x:c r="F24" s="52" t="str">
        <x:v>Laravelサーバー再起動後に利用再開できること</x:v>
      </x:c>
      <x:c r="G24" s="52" t="str">
        <x:v>サーバー再起動可能</x:v>
      </x:c>
      <x:c r="H24" s="52" t="str">
        <x:v>ログイン中にサーバー再起動し、その後アクセス</x:v>
      </x:c>
      <x:c r="I24" s="52" t="str">
        <x:v>再ログイン等の仕様通りの操作で利用再開できる</x:v>
      </x:c>
      <x:c r="J24" s="54" t="str">
        <x:v>未実施</x:v>
      </x:c>
      <x:c r="K24" s="56" t="str"/>
      <x:c r="L24" s="54" t="str"/>
      <x:c r="M24" s="54" t="str"/>
      <x:c r="N24" s="54" t="str"/>
      <x:c r="O24" s="54" t="str">
        <x:v>中</x:v>
      </x:c>
      <x:c r="P24" s="52" t="str"/>
    </x:row>
    <x:row r="25" ht="54" customHeight="1">
      <x:c r="A25" s="54" t="n">
        <x:v>24</x:v>
      </x:c>
      <x:c r="B25" s="54" t="str">
        <x:v>ST-024</x:v>
      </x:c>
      <x:c r="C25" s="54" t="str">
        <x:v>総合テスト</x:v>
      </x:c>
      <x:c r="D25" s="52" t="str">
        <x:v>障害時運用</x:v>
      </x:c>
      <x:c r="E25" s="52" t="str">
        <x:v>端末再起動</x:v>
      </x:c>
      <x:c r="F25" s="52" t="str">
        <x:v>タブレット再起動後に利用再開できること</x:v>
      </x:c>
      <x:c r="G25" s="52" t="str">
        <x:v>タブレット実機</x:v>
      </x:c>
      <x:c r="H25" s="52" t="str">
        <x:v>端末再起動後にAPK起動</x:v>
      </x:c>
      <x:c r="I25" s="52" t="str">
        <x:v>設定URLに接続し、ログイン/読取ができる</x:v>
      </x:c>
      <x:c r="J25" s="54" t="str">
        <x:v>未実施</x:v>
      </x:c>
      <x:c r="K25" s="56" t="str"/>
      <x:c r="L25" s="54" t="str"/>
      <x:c r="M25" s="54" t="str"/>
      <x:c r="N25" s="54" t="str"/>
      <x:c r="O25" s="54" t="str">
        <x:v>中</x:v>
      </x:c>
      <x:c r="P25" s="52" t="str"/>
    </x:row>
    <x:row r="26" ht="54" customHeight="1">
      <x:c r="A26" s="54" t="n">
        <x:v>25</x:v>
      </x:c>
      <x:c r="B26" s="54" t="str">
        <x:v>ST-025</x:v>
      </x:c>
      <x:c r="C26" s="54" t="str">
        <x:v>総合テスト</x:v>
      </x:c>
      <x:c r="D26" s="52" t="str">
        <x:v>運用</x:v>
      </x:c>
      <x:c r="E26" s="52" t="str">
        <x:v>初期設定変更</x:v>
      </x:c>
      <x:c r="F26" s="52" t="str">
        <x:v>サーバーURL変更時にAPK設定反映できること</x:v>
      </x:c>
      <x:c r="G26" s="52" t="str">
        <x:v>変更後サーバーURLを用意</x:v>
      </x:c>
      <x:c r="H26" s="52" t="str">
        <x:v>nfc_config.jsonを変更してビルド/配布</x:v>
      </x:c>
      <x:c r="I26" s="52" t="str">
        <x:v>新URLへ接続できる</x:v>
      </x:c>
      <x:c r="J26" s="54" t="str">
        <x:v>未実施</x:v>
      </x:c>
      <x:c r="K26" s="56" t="str"/>
      <x:c r="L26" s="54" t="str"/>
      <x:c r="M26" s="54" t="str"/>
      <x:c r="N26" s="54" t="str"/>
      <x:c r="O26" s="54" t="str">
        <x:v>中</x:v>
      </x:c>
      <x:c r="P26" s="52" t="str"/>
    </x:row>
    <x:row r="27" ht="54" customHeight="1">
      <x:c r="A27" s="54" t="n">
        <x:v>26</x:v>
      </x:c>
      <x:c r="B27" s="54" t="str">
        <x:v>ST-026</x:v>
      </x:c>
      <x:c r="C27" s="54" t="str">
        <x:v>総合テスト</x:v>
      </x:c>
      <x:c r="D27" s="52" t="str">
        <x:v>運用</x:v>
      </x:c>
      <x:c r="E27" s="52" t="str">
        <x:v>利用者教育</x:v>
      </x:c>
      <x:c r="F27" s="52" t="str">
        <x:v>職員向け手順書に従って操作できること</x:v>
      </x:c>
      <x:c r="G27" s="52" t="str">
        <x:v>簡易手順書を用意</x:v>
      </x:c>
      <x:c r="H27" s="52" t="str">
        <x:v>初見の担当者が手順に沿って操作</x:v>
      </x:c>
      <x:c r="I27" s="52" t="str">
        <x:v>大きな迷いなく受付完了できる。詰まった点を記録する</x:v>
      </x:c>
      <x:c r="J27" s="54" t="str">
        <x:v>未実施</x:v>
      </x:c>
      <x:c r="K27" s="56" t="str"/>
      <x:c r="L27" s="54" t="str"/>
      <x:c r="M27" s="54" t="str"/>
      <x:c r="N27" s="54" t="str"/>
      <x:c r="O27" s="54" t="str">
        <x:v>中</x:v>
      </x:c>
      <x:c r="P27" s="52" t="str"/>
    </x:row>
    <x:row r="28" ht="54" customHeight="1">
      <x:c r="A28" s="54" t="n">
        <x:v>27</x:v>
      </x:c>
      <x:c r="B28" s="54" t="str">
        <x:v>ST-027</x:v>
      </x:c>
      <x:c r="C28" s="54" t="str">
        <x:v>総合テスト</x:v>
      </x:c>
      <x:c r="D28" s="52" t="str">
        <x:v>受入</x:v>
      </x:c>
      <x:c r="E28" s="52" t="str">
        <x:v>業務承認</x:v>
      </x:c>
      <x:c r="F28" s="52" t="str">
        <x:v>業務部門が保存項目・画面表示を承認できること</x:v>
      </x:c>
      <x:c r="G28" s="52" t="str">
        <x:v>業務担当者参加</x:v>
      </x:c>
      <x:c r="H28" s="52" t="str">
        <x:v>主要画面・DB保存項目・出力項目を確認</x:v>
      </x:c>
      <x:c r="I28" s="52" t="str">
        <x:v>業務要件に合致し、承認または修正事項が記録される</x:v>
      </x:c>
      <x:c r="J28" s="54" t="str">
        <x:v>未実施</x:v>
      </x:c>
      <x:c r="K28" s="56" t="str"/>
      <x:c r="L28" s="54" t="str"/>
      <x:c r="M28" s="54" t="str"/>
      <x:c r="N28" s="54" t="str"/>
      <x:c r="O28" s="54" t="str">
        <x:v>高</x:v>
      </x:c>
      <x:c r="P28" s="52" t="str"/>
    </x:row>
    <x:row r="29" ht="54" customHeight="1">
      <x:c r="A29" s="54" t="n">
        <x:v>28</x:v>
      </x:c>
      <x:c r="B29" s="54" t="str">
        <x:v>ST-028</x:v>
      </x:c>
      <x:c r="C29" s="54" t="str">
        <x:v>総合テスト</x:v>
      </x:c>
      <x:c r="D29" s="52" t="str">
        <x:v>受入</x:v>
      </x:c>
      <x:c r="E29" s="52" t="str">
        <x:v>システム部門承認</x:v>
      </x:c>
      <x:c r="F29" s="52" t="str">
        <x:v>システム部門が構成・運用・障害対応を承認できること</x:v>
      </x:c>
      <x:c r="G29" s="52" t="str">
        <x:v>設計書/手順書/試験結果を準備</x:v>
      </x:c>
      <x:c r="H29" s="52" t="str">
        <x:v>構成、バックアップ、ログ、障害時対応を確認</x:v>
      </x:c>
      <x:c r="I29" s="52" t="str">
        <x:v>本番移行可否の判断材料が揃う</x:v>
      </x:c>
      <x:c r="J29" s="54" t="str">
        <x:v>未実施</x:v>
      </x:c>
      <x:c r="K29" s="56" t="str"/>
      <x:c r="L29" s="54" t="str"/>
      <x:c r="M29" s="54" t="str"/>
      <x:c r="N29" s="54" t="str"/>
      <x:c r="O29" s="54" t="str">
        <x:v>高</x:v>
      </x:c>
      <x:c r="P29" s="52" t="str"/>
    </x:row>
    <x:row r="30" ht="54" customHeight="1">
      <x:c r="A30" s="54" t="n">
        <x:v>29</x:v>
      </x:c>
      <x:c r="B30" s="54" t="str">
        <x:v>ST-029</x:v>
      </x:c>
      <x:c r="C30" s="54" t="str">
        <x:v>総合テスト</x:v>
      </x:c>
      <x:c r="D30" s="52" t="str">
        <x:v>受入</x:v>
      </x:c>
      <x:c r="E30" s="52" t="str">
        <x:v>本番移行判定</x:v>
      </x:c>
      <x:c r="F30" s="52" t="str">
        <x:v>未解決不具合の本番影響を判定できること</x:v>
      </x:c>
      <x:c r="G30" s="52" t="str">
        <x:v>全試験結果を集計</x:v>
      </x:c>
      <x:c r="H30" s="52" t="str">
        <x:v>NG/保留/課題をレビュー</x:v>
      </x:c>
      <x:c r="I30" s="52" t="str">
        <x:v>本番移行可否、条件付き移行、延期の判断ができる</x:v>
      </x:c>
      <x:c r="J30" s="54" t="str">
        <x:v>未実施</x:v>
      </x:c>
      <x:c r="K30" s="56" t="str"/>
      <x:c r="L30" s="54" t="str"/>
      <x:c r="M30" s="54" t="str"/>
      <x:c r="N30" s="54" t="str"/>
      <x:c r="O30" s="54" t="str">
        <x:v>高</x:v>
      </x:c>
      <x:c r="P30" s="52" t="str"/>
    </x:row>
  </x:sheetData>
  <x:dataValidations count="2">
    <x:dataValidation type="list" allowBlank="1" showDropDown="0" sqref="J2:J200">
      <x:formula1>"未実施,OK,NG,保留,対象外"</x:formula1>
    </x:dataValidation>
    <x:dataValidation type="list" allowBlank="1" showDropDown="0" sqref="O2:O200">
      <x:formula1>"高,中,低"</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6" hidden="0" customWidth="1"/>
    <x:col min="2" max="2" width="10" hidden="0" customWidth="1"/>
    <x:col min="3" max="3" width="15" hidden="0" customWidth="1"/>
    <x:col min="4" max="4" width="16" hidden="0" customWidth="1"/>
    <x:col min="5" max="5" width="22" hidden="0" customWidth="1"/>
    <x:col min="6" max="6" width="24" hidden="0" customWidth="1"/>
    <x:col min="7" max="7" width="30" hidden="0" customWidth="1"/>
    <x:col min="8" max="8" width="38" hidden="0" customWidth="1"/>
    <x:col min="9" max="9" width="40" hidden="0" customWidth="1"/>
    <x:col min="10" max="10" width="12" hidden="0" customWidth="1"/>
    <x:col min="11" max="11" width="12" hidden="0" customWidth="1"/>
    <x:col min="12" max="12" width="14" hidden="0" customWidth="1"/>
    <x:col min="13" max="13" width="20" hidden="0" customWidth="1"/>
    <x:col min="14" max="14" width="14" hidden="0" customWidth="1"/>
    <x:col min="15" max="15" width="10" hidden="0" customWidth="1"/>
    <x:col min="16" max="16" width="22" hidden="0" customWidth="1"/>
  </x:cols>
  <x:sheetData>
    <x:row r="1" ht="30" customHeight="1">
      <x:c r="A1" s="28" t="str">
        <x:v>No.</x:v>
      </x:c>
      <x:c r="B1" s="28" t="str">
        <x:v>テストID</x:v>
      </x:c>
      <x:c r="C1" s="28" t="str">
        <x:v>工程</x:v>
      </x:c>
      <x:c r="D1" s="28" t="str">
        <x:v>大分類</x:v>
      </x:c>
      <x:c r="E1" s="28" t="str">
        <x:v>対象機能/モジュール</x:v>
      </x:c>
      <x:c r="F1" s="28" t="str">
        <x:v>試験観点</x:v>
      </x:c>
      <x:c r="G1" s="28" t="str">
        <x:v>前提条件</x:v>
      </x:c>
      <x:c r="H1" s="28" t="str">
        <x:v>操作手順</x:v>
      </x:c>
      <x:c r="I1" s="28" t="str">
        <x:v>確認内容・期待結果</x:v>
      </x:c>
      <x:c r="J1" s="28" t="str">
        <x:v>結果</x:v>
      </x:c>
      <x:c r="K1" s="28" t="str">
        <x:v>実施日</x:v>
      </x:c>
      <x:c r="L1" s="28" t="str">
        <x:v>実施者</x:v>
      </x:c>
      <x:c r="M1" s="28" t="str">
        <x:v>エビデンス</x:v>
      </x:c>
      <x:c r="N1" s="28" t="str">
        <x:v>不具合票</x:v>
      </x:c>
      <x:c r="O1" s="28" t="str">
        <x:v>優先度</x:v>
      </x:c>
      <x:c r="P1" s="28" t="str">
        <x:v>備考</x:v>
      </x:c>
    </x:row>
    <x:row r="2" ht="54" customHeight="1">
      <x:c r="A2" s="54" t="n">
        <x:v>1</x:v>
      </x:c>
      <x:c r="B2" s="54" t="str">
        <x:v>SO-001</x:v>
      </x:c>
      <x:c r="C2" s="54" t="str">
        <x:v>セキュリティ・運用テスト</x:v>
      </x:c>
      <x:c r="D2" s="52" t="str">
        <x:v>認証</x:v>
      </x:c>
      <x:c r="E2" s="52" t="str">
        <x:v>ログイン保護</x:v>
      </x:c>
      <x:c r="F2" s="52" t="str">
        <x:v>未ログインで保護画面/APIにアクセスできないこと</x:v>
      </x:c>
      <x:c r="G2" s="52" t="str">
        <x:v>ブラウザまたはAPIクライアントを用意</x:v>
      </x:c>
      <x:c r="H2" s="52" t="str">
        <x:v>/、/records、/api/me、/api/recordsへ未ログインでアクセス</x:v>
      </x:c>
      <x:c r="I2" s="52" t="str">
        <x:v>ログイン画面へ誘導または401/403相当で拒否される</x:v>
      </x:c>
      <x:c r="J2" s="54" t="str">
        <x:v>未実施</x:v>
      </x:c>
      <x:c r="K2" s="56" t="str"/>
      <x:c r="L2" s="54" t="str"/>
      <x:c r="M2" s="54" t="str"/>
      <x:c r="N2" s="54" t="str"/>
      <x:c r="O2" s="54" t="str">
        <x:v>高</x:v>
      </x:c>
      <x:c r="P2" s="52" t="str"/>
    </x:row>
    <x:row r="3" ht="54" customHeight="1">
      <x:c r="A3" s="54" t="n">
        <x:v>2</x:v>
      </x:c>
      <x:c r="B3" s="54" t="str">
        <x:v>SO-002</x:v>
      </x:c>
      <x:c r="C3" s="54" t="str">
        <x:v>セキュリティ・運用テスト</x:v>
      </x:c>
      <x:c r="D3" s="52" t="str">
        <x:v>認証</x:v>
      </x:c>
      <x:c r="E3" s="52" t="str">
        <x:v>パスワードエラー</x:v>
      </x:c>
      <x:c r="F3" s="52" t="str">
        <x:v>ログイン失敗時にアカウント存在を推測しにくいこと</x:v>
      </x:c>
      <x:c r="G3" s="52" t="str">
        <x:v>存在/不存在の社員番号を用意</x:v>
      </x:c>
      <x:c r="H3" s="52" t="str">
        <x:v>それぞれ誤ログインする</x:v>
      </x:c>
      <x:c r="I3" s="52" t="str">
        <x:v>メッセージが過度に詳細でなく、社員番号の存在有無を漏らさない</x:v>
      </x:c>
      <x:c r="J3" s="54" t="str">
        <x:v>未実施</x:v>
      </x:c>
      <x:c r="K3" s="56" t="str"/>
      <x:c r="L3" s="54" t="str"/>
      <x:c r="M3" s="54" t="str"/>
      <x:c r="N3" s="54" t="str"/>
      <x:c r="O3" s="54" t="str">
        <x:v>中</x:v>
      </x:c>
      <x:c r="P3" s="52" t="str"/>
    </x:row>
    <x:row r="4" ht="54" customHeight="1">
      <x:c r="A4" s="54" t="n">
        <x:v>3</x:v>
      </x:c>
      <x:c r="B4" s="54" t="str">
        <x:v>SO-003</x:v>
      </x:c>
      <x:c r="C4" s="54" t="str">
        <x:v>セキュリティ・運用テスト</x:v>
      </x:c>
      <x:c r="D4" s="52" t="str">
        <x:v>認証</x:v>
      </x:c>
      <x:c r="E4" s="52" t="str">
        <x:v>初期パスワード</x:v>
      </x:c>
      <x:c r="F4" s="52" t="str">
        <x:v>既知の初期パスワードが本番に残っていないこと</x:v>
      </x:c>
      <x:c r="G4" s="52" t="str">
        <x:v>本番相当DB</x:v>
      </x:c>
      <x:c r="H4" s="52" t="str">
        <x:v>ADMIN001/EMP001/changeme等でログインを試行</x:v>
      </x:c>
      <x:c r="I4" s="52" t="str">
        <x:v>既知パスワードではログインできない</x:v>
      </x:c>
      <x:c r="J4" s="54" t="str">
        <x:v>未実施</x:v>
      </x:c>
      <x:c r="K4" s="56" t="str"/>
      <x:c r="L4" s="54" t="str"/>
      <x:c r="M4" s="54" t="str"/>
      <x:c r="N4" s="54" t="str"/>
      <x:c r="O4" s="54" t="str">
        <x:v>高</x:v>
      </x:c>
      <x:c r="P4" s="52" t="str"/>
    </x:row>
    <x:row r="5" ht="54" customHeight="1">
      <x:c r="A5" s="54" t="n">
        <x:v>4</x:v>
      </x:c>
      <x:c r="B5" s="54" t="str">
        <x:v>SO-004</x:v>
      </x:c>
      <x:c r="C5" s="54" t="str">
        <x:v>セキュリティ・運用テスト</x:v>
      </x:c>
      <x:c r="D5" s="52" t="str">
        <x:v>認証</x:v>
      </x:c>
      <x:c r="E5" s="52" t="str">
        <x:v>無効ユーザー</x:v>
      </x:c>
      <x:c r="F5" s="52" t="str">
        <x:v>退職/利用停止ユーザーがログインできないこと</x:v>
      </x:c>
      <x:c r="G5" s="52" t="str">
        <x:v>is_active=false ユーザー</x:v>
      </x:c>
      <x:c r="H5" s="52" t="str">
        <x:v>ログインを試行</x:v>
      </x:c>
      <x:c r="I5" s="52" t="str">
        <x:v>ログインできない</x:v>
      </x:c>
      <x:c r="J5" s="54" t="str">
        <x:v>未実施</x:v>
      </x:c>
      <x:c r="K5" s="56" t="str"/>
      <x:c r="L5" s="54" t="str"/>
      <x:c r="M5" s="54" t="str"/>
      <x:c r="N5" s="54" t="str"/>
      <x:c r="O5" s="54" t="str">
        <x:v>高</x:v>
      </x:c>
      <x:c r="P5" s="52" t="str"/>
    </x:row>
    <x:row r="6" ht="54" customHeight="1">
      <x:c r="A6" s="54" t="n">
        <x:v>5</x:v>
      </x:c>
      <x:c r="B6" s="54" t="str">
        <x:v>SO-005</x:v>
      </x:c>
      <x:c r="C6" s="54" t="str">
        <x:v>セキュリティ・運用テスト</x:v>
      </x:c>
      <x:c r="D6" s="52" t="str">
        <x:v>認可</x:v>
      </x:c>
      <x:c r="E6" s="52" t="str">
        <x:v>設定更新</x:v>
      </x:c>
      <x:c r="F6" s="52" t="str">
        <x:v>一般ユーザーが /api/config を更新できないこと</x:v>
      </x:c>
      <x:c r="G6" s="52" t="str">
        <x:v>一般ユーザーでログイン</x:v>
      </x:c>
      <x:c r="H6" s="52" t="str">
        <x:v>/api/config にPUTする</x:v>
      </x:c>
      <x:c r="I6" s="52" t="str">
        <x:v>403等で拒否され、設定が変わらない</x:v>
      </x:c>
      <x:c r="J6" s="54" t="str">
        <x:v>未実施</x:v>
      </x:c>
      <x:c r="K6" s="56" t="str"/>
      <x:c r="L6" s="54" t="str"/>
      <x:c r="M6" s="54" t="str"/>
      <x:c r="N6" s="54" t="str"/>
      <x:c r="O6" s="54" t="str">
        <x:v>高</x:v>
      </x:c>
      <x:c r="P6" s="52" t="str">
        <x:v>現行実装でNG想定。改善後に確認</x:v>
      </x:c>
    </x:row>
    <x:row r="7" ht="54" customHeight="1">
      <x:c r="A7" s="54" t="n">
        <x:v>6</x:v>
      </x:c>
      <x:c r="B7" s="54" t="str">
        <x:v>SO-006</x:v>
      </x:c>
      <x:c r="C7" s="54" t="str">
        <x:v>セキュリティ・運用テスト</x:v>
      </x:c>
      <x:c r="D7" s="52" t="str">
        <x:v>認可</x:v>
      </x:c>
      <x:c r="E7" s="52" t="str">
        <x:v>記録参照</x:v>
      </x:c>
      <x:c r="F7" s="52" t="str">
        <x:v>他ユーザーの記録を参照できないこと</x:v>
      </x:c>
      <x:c r="G7" s="52" t="str">
        <x:v>ユーザーA/Bのデータを用意</x:v>
      </x:c>
      <x:c r="H7" s="52" t="str">
        <x:v>ユーザーAで一覧検索・URL操作を試行</x:v>
      </x:c>
      <x:c r="I7" s="52" t="str">
        <x:v>ユーザーBの記録が表示/取得できない</x:v>
      </x:c>
      <x:c r="J7" s="54" t="str">
        <x:v>未実施</x:v>
      </x:c>
      <x:c r="K7" s="56" t="str"/>
      <x:c r="L7" s="54" t="str"/>
      <x:c r="M7" s="54" t="str"/>
      <x:c r="N7" s="54" t="str"/>
      <x:c r="O7" s="54" t="str">
        <x:v>高</x:v>
      </x:c>
      <x:c r="P7" s="52" t="str"/>
    </x:row>
    <x:row r="8" ht="54" customHeight="1">
      <x:c r="A8" s="54" t="n">
        <x:v>7</x:v>
      </x:c>
      <x:c r="B8" s="54" t="str">
        <x:v>SO-007</x:v>
      </x:c>
      <x:c r="C8" s="54" t="str">
        <x:v>セキュリティ・運用テスト</x:v>
      </x:c>
      <x:c r="D8" s="52" t="str">
        <x:v>CSRF</x:v>
      </x:c>
      <x:c r="E8" s="52" t="str">
        <x:v>POST保護</x:v>
      </x:c>
      <x:c r="F8" s="52" t="str">
        <x:v>ログイン状態でもCSRFなしの登録ができないこと</x:v>
      </x:c>
      <x:c r="G8" s="52" t="str">
        <x:v>ログイン済み、外部フォーム/APIクライアント</x:v>
      </x:c>
      <x:c r="H8" s="52" t="str">
        <x:v>CSRFトークンなしで /api/submit へPOST</x:v>
      </x:c>
      <x:c r="I8" s="52" t="str">
        <x:v>登録拒否される</x:v>
      </x:c>
      <x:c r="J8" s="54" t="str">
        <x:v>未実施</x:v>
      </x:c>
      <x:c r="K8" s="56" t="str"/>
      <x:c r="L8" s="54" t="str"/>
      <x:c r="M8" s="54" t="str"/>
      <x:c r="N8" s="54" t="str"/>
      <x:c r="O8" s="54" t="str">
        <x:v>高</x:v>
      </x:c>
      <x:c r="P8" s="52" t="str"/>
    </x:row>
    <x:row r="9" ht="54" customHeight="1">
      <x:c r="A9" s="54" t="n">
        <x:v>8</x:v>
      </x:c>
      <x:c r="B9" s="54" t="str">
        <x:v>SO-008</x:v>
      </x:c>
      <x:c r="C9" s="54" t="str">
        <x:v>セキュリティ・運用テスト</x:v>
      </x:c>
      <x:c r="D9" s="52" t="str">
        <x:v>CSRF</x:v>
      </x:c>
      <x:c r="E9" s="52" t="str">
        <x:v>ログアウト保護</x:v>
      </x:c>
      <x:c r="F9" s="52" t="str">
        <x:v>CSRFなしでログアウトさせられないこと</x:v>
      </x:c>
      <x:c r="G9" s="52" t="str">
        <x:v>ログイン済み</x:v>
      </x:c>
      <x:c r="H9" s="52" t="str">
        <x:v>CSRFなしで /logout へPOST</x:v>
      </x:c>
      <x:c r="I9" s="52" t="str">
        <x:v>拒否される、または仕様通り安全に扱われる</x:v>
      </x:c>
      <x:c r="J9" s="54" t="str">
        <x:v>未実施</x:v>
      </x:c>
      <x:c r="K9" s="56" t="str"/>
      <x:c r="L9" s="54" t="str"/>
      <x:c r="M9" s="54" t="str"/>
      <x:c r="N9" s="54" t="str"/>
      <x:c r="O9" s="54" t="str">
        <x:v>中</x:v>
      </x:c>
      <x:c r="P9" s="52" t="str"/>
    </x:row>
    <x:row r="10" ht="54" customHeight="1">
      <x:c r="A10" s="54" t="n">
        <x:v>9</x:v>
      </x:c>
      <x:c r="B10" s="54" t="str">
        <x:v>SO-009</x:v>
      </x:c>
      <x:c r="C10" s="54" t="str">
        <x:v>セキュリティ・運用テスト</x:v>
      </x:c>
      <x:c r="D10" s="52" t="str">
        <x:v>セッション</x:v>
      </x:c>
      <x:c r="E10" s="52" t="str">
        <x:v>Cookie属性</x:v>
      </x:c>
      <x:c r="F10" s="52" t="str">
        <x:v>セッションCookieのHttpOnly/SameSiteが設定されていること</x:v>
      </x:c>
      <x:c r="G10" s="52" t="str">
        <x:v>ログイン済み</x:v>
      </x:c>
      <x:c r="H10" s="52" t="str">
        <x:v>ブラウザ/プロキシでSet-Cookieを確認</x:v>
      </x:c>
      <x:c r="I10" s="52" t="str">
        <x:v>HttpOnly=true、SameSiteが設定されている</x:v>
      </x:c>
      <x:c r="J10" s="54" t="str">
        <x:v>未実施</x:v>
      </x:c>
      <x:c r="K10" s="56" t="str"/>
      <x:c r="L10" s="54" t="str"/>
      <x:c r="M10" s="54" t="str"/>
      <x:c r="N10" s="54" t="str"/>
      <x:c r="O10" s="54" t="str">
        <x:v>高</x:v>
      </x:c>
      <x:c r="P10" s="52" t="str"/>
    </x:row>
    <x:row r="11" ht="54" customHeight="1">
      <x:c r="A11" s="54" t="n">
        <x:v>10</x:v>
      </x:c>
      <x:c r="B11" s="54" t="str">
        <x:v>SO-010</x:v>
      </x:c>
      <x:c r="C11" s="54" t="str">
        <x:v>セキュリティ・運用テスト</x:v>
      </x:c>
      <x:c r="D11" s="52" t="str">
        <x:v>セッション</x:v>
      </x:c>
      <x:c r="E11" s="52" t="str">
        <x:v>有効期限</x:v>
      </x:c>
      <x:c r="F11" s="52" t="str">
        <x:v>一定時間放置後に再認証が必要になること</x:v>
      </x:c>
      <x:c r="G11" s="52" t="str">
        <x:v>セッション有効期限を確認</x:v>
      </x:c>
      <x:c r="H11" s="52" t="str">
        <x:v>ログイン後、期限超過まで放置して操作</x:v>
      </x:c>
      <x:c r="I11" s="52" t="str">
        <x:v>再ログイン要求または仕様通りの期限切れ処理になる</x:v>
      </x:c>
      <x:c r="J11" s="54" t="str">
        <x:v>未実施</x:v>
      </x:c>
      <x:c r="K11" s="56" t="str"/>
      <x:c r="L11" s="54" t="str"/>
      <x:c r="M11" s="54" t="str"/>
      <x:c r="N11" s="54" t="str"/>
      <x:c r="O11" s="54" t="str">
        <x:v>中</x:v>
      </x:c>
      <x:c r="P11" s="52" t="str"/>
    </x:row>
    <x:row r="12" ht="54" customHeight="1">
      <x:c r="A12" s="54" t="n">
        <x:v>11</x:v>
      </x:c>
      <x:c r="B12" s="54" t="str">
        <x:v>SO-011</x:v>
      </x:c>
      <x:c r="C12" s="54" t="str">
        <x:v>セキュリティ・運用テスト</x:v>
      </x:c>
      <x:c r="D12" s="52" t="str">
        <x:v>通信</x:v>
      </x:c>
      <x:c r="E12" s="52" t="str">
        <x:v>HTTPS/HTTP方針</x:v>
      </x:c>
      <x:c r="F12" s="52" t="str">
        <x:v>本番通信方式が設計通りであること</x:v>
      </x:c>
      <x:c r="G12" s="52" t="str">
        <x:v>本番相当ネットワーク</x:v>
      </x:c>
      <x:c r="H12" s="52" t="str">
        <x:v>タブレットからサーバーへ接続しURL/通信を確認</x:v>
      </x:c>
      <x:c r="I12" s="52" t="str">
        <x:v>HTTPS必須またはイントラHTTP許容等、承認済み方針と一致する</x:v>
      </x:c>
      <x:c r="J12" s="54" t="str">
        <x:v>未実施</x:v>
      </x:c>
      <x:c r="K12" s="56" t="str"/>
      <x:c r="L12" s="54" t="str"/>
      <x:c r="M12" s="54" t="str"/>
      <x:c r="N12" s="54" t="str"/>
      <x:c r="O12" s="54" t="str">
        <x:v>高</x:v>
      </x:c>
      <x:c r="P12" s="52" t="str"/>
    </x:row>
    <x:row r="13" ht="54" customHeight="1">
      <x:c r="A13" s="54" t="n">
        <x:v>12</x:v>
      </x:c>
      <x:c r="B13" s="54" t="str">
        <x:v>SO-012</x:v>
      </x:c>
      <x:c r="C13" s="54" t="str">
        <x:v>セキュリティ・運用テスト</x:v>
      </x:c>
      <x:c r="D13" s="52" t="str">
        <x:v>通信</x:v>
      </x:c>
      <x:c r="E13" s="52" t="str">
        <x:v>混在コンテンツ</x:v>
      </x:c>
      <x:c r="F13" s="52" t="str">
        <x:v>外部/混在コンテンツを読み込まないこと</x:v>
      </x:c>
      <x:c r="G13" s="52" t="str">
        <x:v>プロキシまたは開発者ツールで通信確認</x:v>
      </x:c>
      <x:c r="H13" s="52" t="str">
        <x:v>スキャン画面・一覧画面を表示</x:v>
      </x:c>
      <x:c r="I13" s="52" t="str">
        <x:v>許可されていない外部URLや混在コンテンツが読み込まれない</x:v>
      </x:c>
      <x:c r="J13" s="54" t="str">
        <x:v>未実施</x:v>
      </x:c>
      <x:c r="K13" s="56" t="str"/>
      <x:c r="L13" s="54" t="str"/>
      <x:c r="M13" s="54" t="str"/>
      <x:c r="N13" s="54" t="str"/>
      <x:c r="O13" s="54" t="str">
        <x:v>高</x:v>
      </x:c>
      <x:c r="P13" s="52" t="str"/>
    </x:row>
    <x:row r="14" ht="54" customHeight="1">
      <x:c r="A14" s="54" t="n">
        <x:v>13</x:v>
      </x:c>
      <x:c r="B14" s="54" t="str">
        <x:v>SO-013</x:v>
      </x:c>
      <x:c r="C14" s="54" t="str">
        <x:v>セキュリティ・運用テスト</x:v>
      </x:c>
      <x:c r="D14" s="52" t="str">
        <x:v>WebView</x:v>
      </x:c>
      <x:c r="E14" s="52" t="str">
        <x:v>URL制限</x:v>
      </x:c>
      <x:c r="F14" s="52" t="str">
        <x:v>WebViewが想定外URLへ遷移しないこと</x:v>
      </x:c>
      <x:c r="G14" s="52" t="str">
        <x:v>サーバーに外部リンク/リダイレクトを用意</x:v>
      </x:c>
      <x:c r="H14" s="52" t="str">
        <x:v>リンク押下またはリダイレクトを発生</x:v>
      </x:c>
      <x:c r="I14" s="52" t="str">
        <x:v>許可ホスト外へ遷移しない、または明示的にブロックされる</x:v>
      </x:c>
      <x:c r="J14" s="54" t="str">
        <x:v>未実施</x:v>
      </x:c>
      <x:c r="K14" s="56" t="str"/>
      <x:c r="L14" s="54" t="str"/>
      <x:c r="M14" s="54" t="str"/>
      <x:c r="N14" s="54" t="str"/>
      <x:c r="O14" s="54" t="str">
        <x:v>高</x:v>
      </x:c>
      <x:c r="P14" s="52" t="str">
        <x:v>現行実装では要改善の可能性</x:v>
      </x:c>
    </x:row>
    <x:row r="15" ht="54" customHeight="1">
      <x:c r="A15" s="54" t="n">
        <x:v>14</x:v>
      </x:c>
      <x:c r="B15" s="54" t="str">
        <x:v>SO-014</x:v>
      </x:c>
      <x:c r="C15" s="54" t="str">
        <x:v>セキュリティ・運用テスト</x:v>
      </x:c>
      <x:c r="D15" s="52" t="str">
        <x:v>WebView</x:v>
      </x:c>
      <x:c r="E15" s="52" t="str">
        <x:v>JavaScript bridge</x:v>
      </x:c>
      <x:c r="F15" s="52" t="str">
        <x:v>信頼できないページからNfcAndroid bridgeを呼べないこと</x:v>
      </x:c>
      <x:c r="G15" s="52" t="str">
        <x:v>想定外URLへ遷移できる検証環境</x:v>
      </x:c>
      <x:c r="H15" s="52" t="str">
        <x:v>外部/改ざんページから window.NfcAndroid を呼ぶ</x:v>
      </x:c>
      <x:c r="I15" s="52" t="str">
        <x:v>呼び出せない、または遷移自体がブロックされる</x:v>
      </x:c>
      <x:c r="J15" s="54" t="str">
        <x:v>未実施</x:v>
      </x:c>
      <x:c r="K15" s="56" t="str"/>
      <x:c r="L15" s="54" t="str"/>
      <x:c r="M15" s="54" t="str"/>
      <x:c r="N15" s="54" t="str"/>
      <x:c r="O15" s="54" t="str">
        <x:v>高</x:v>
      </x:c>
      <x:c r="P15" s="52" t="str">
        <x:v>現行実装では要改善の可能性</x:v>
      </x:c>
    </x:row>
    <x:row r="16" ht="54" customHeight="1">
      <x:c r="A16" s="54" t="n">
        <x:v>15</x:v>
      </x:c>
      <x:c r="B16" s="54" t="str">
        <x:v>SO-015</x:v>
      </x:c>
      <x:c r="C16" s="54" t="str">
        <x:v>セキュリティ・運用テスト</x:v>
      </x:c>
      <x:c r="D16" s="52" t="str">
        <x:v>入力検証</x:v>
      </x:c>
      <x:c r="E16" s="52" t="str">
        <x:v>XSS</x:v>
      </x:c>
      <x:c r="F16" s="52" t="str">
        <x:v>登録データにHTML/Scriptが含まれても画面実行されないこと</x:v>
      </x:c>
      <x:c r="G16" s="52" t="str">
        <x:v>モックまたはDB直接投入</x:v>
      </x:c>
      <x:c r="H16" s="52" t="str">
        <x:v>一覧/詳細/確認画面を表示</x:v>
      </x:c>
      <x:c r="I16" s="52" t="str">
        <x:v>スクリプトが実行されず文字列として表示される</x:v>
      </x:c>
      <x:c r="J16" s="54" t="str">
        <x:v>未実施</x:v>
      </x:c>
      <x:c r="K16" s="56" t="str"/>
      <x:c r="L16" s="54" t="str"/>
      <x:c r="M16" s="54" t="str"/>
      <x:c r="N16" s="54" t="str"/>
      <x:c r="O16" s="54" t="str">
        <x:v>高</x:v>
      </x:c>
      <x:c r="P16" s="52" t="str"/>
    </x:row>
    <x:row r="17" ht="54" customHeight="1">
      <x:c r="A17" s="54" t="n">
        <x:v>16</x:v>
      </x:c>
      <x:c r="B17" s="54" t="str">
        <x:v>SO-016</x:v>
      </x:c>
      <x:c r="C17" s="54" t="str">
        <x:v>セキュリティ・運用テスト</x:v>
      </x:c>
      <x:c r="D17" s="52" t="str">
        <x:v>入力検証</x:v>
      </x:c>
      <x:c r="E17" s="52" t="str">
        <x:v>SQLインジェクション</x:v>
      </x:c>
      <x:c r="F17" s="52" t="str">
        <x:v>検索文字列でSQLインジェクションが成立しないこと</x:v>
      </x:c>
      <x:c r="G17" s="52" t="str">
        <x:v>登録済みデータ</x:v>
      </x:c>
      <x:c r="H17" s="52" t="str">
        <x:v>検索欄に `' OR 1=1 --` 等を入力</x:v>
      </x:c>
      <x:c r="I17" s="52" t="str">
        <x:v>エラーや全件漏えいが起きず、安全に検索される</x:v>
      </x:c>
      <x:c r="J17" s="54" t="str">
        <x:v>未実施</x:v>
      </x:c>
      <x:c r="K17" s="56" t="str"/>
      <x:c r="L17" s="54" t="str"/>
      <x:c r="M17" s="54" t="str"/>
      <x:c r="N17" s="54" t="str"/>
      <x:c r="O17" s="54" t="str">
        <x:v>高</x:v>
      </x:c>
      <x:c r="P17" s="52" t="str"/>
    </x:row>
    <x:row r="18" ht="54" customHeight="1">
      <x:c r="A18" s="54" t="n">
        <x:v>17</x:v>
      </x:c>
      <x:c r="B18" s="54" t="str">
        <x:v>SO-017</x:v>
      </x:c>
      <x:c r="C18" s="54" t="str">
        <x:v>セキュリティ・運用テスト</x:v>
      </x:c>
      <x:c r="D18" s="52" t="str">
        <x:v>入力検証</x:v>
      </x:c>
      <x:c r="E18" s="52" t="str">
        <x:v>過大入力</x:v>
      </x:c>
      <x:c r="F18" s="52" t="str">
        <x:v>過大な文字列を送信しても異常終了しないこと</x:v>
      </x:c>
      <x:c r="G18" s="52" t="str">
        <x:v>APIクライアント</x:v>
      </x:c>
      <x:c r="H18" s="52" t="str">
        <x:v>各項目に上限超過文字列を送信</x:v>
      </x:c>
      <x:c r="I18" s="52" t="str">
        <x:v>バリデーションエラーとなりDBに登録されない</x:v>
      </x:c>
      <x:c r="J18" s="54" t="str">
        <x:v>未実施</x:v>
      </x:c>
      <x:c r="K18" s="56" t="str"/>
      <x:c r="L18" s="54" t="str"/>
      <x:c r="M18" s="54" t="str"/>
      <x:c r="N18" s="54" t="str"/>
      <x:c r="O18" s="54" t="str">
        <x:v>中</x:v>
      </x:c>
      <x:c r="P18" s="52" t="str"/>
    </x:row>
    <x:row r="19" ht="54" customHeight="1">
      <x:c r="A19" s="54" t="n">
        <x:v>18</x:v>
      </x:c>
      <x:c r="B19" s="54" t="str">
        <x:v>SO-018</x:v>
      </x:c>
      <x:c r="C19" s="54" t="str">
        <x:v>セキュリティ・運用テスト</x:v>
      </x:c>
      <x:c r="D19" s="52" t="str">
        <x:v>データ保護</x:v>
      </x:c>
      <x:c r="E19" s="52" t="str">
        <x:v>番号非保存</x:v>
      </x:c>
      <x:c r="F19" s="52" t="str">
        <x:v>マイナンバー/免許証番号がDBに保存されていないこと</x:v>
      </x:c>
      <x:c r="G19" s="52" t="str">
        <x:v>登録後DB確認可能</x:v>
      </x:c>
      <x:c r="H19" s="52" t="str">
        <x:v>各カードを登録後、テーブル定義と値を確認</x:v>
      </x:c>
      <x:c r="I19" s="52" t="str">
        <x:v>番号列が存在せず、値も保存されていない</x:v>
      </x:c>
      <x:c r="J19" s="54" t="str">
        <x:v>未実施</x:v>
      </x:c>
      <x:c r="K19" s="56" t="str"/>
      <x:c r="L19" s="54" t="str"/>
      <x:c r="M19" s="54" t="str"/>
      <x:c r="N19" s="54" t="str"/>
      <x:c r="O19" s="54" t="str">
        <x:v>高</x:v>
      </x:c>
      <x:c r="P19" s="52" t="str"/>
    </x:row>
    <x:row r="20" ht="54" customHeight="1">
      <x:c r="A20" s="54" t="n">
        <x:v>19</x:v>
      </x:c>
      <x:c r="B20" s="54" t="str">
        <x:v>SO-019</x:v>
      </x:c>
      <x:c r="C20" s="54" t="str">
        <x:v>セキュリティ・運用テスト</x:v>
      </x:c>
      <x:c r="D20" s="52" t="str">
        <x:v>データ保護</x:v>
      </x:c>
      <x:c r="E20" s="52" t="str">
        <x:v>端末保存</x:v>
      </x:c>
      <x:c r="F20" s="52" t="str">
        <x:v>Android端末内に読取データが残らないこと</x:v>
      </x:c>
      <x:c r="G20" s="52" t="str">
        <x:v>実機、操作後</x:v>
      </x:c>
      <x:c r="H20" s="52" t="str">
        <x:v>登録後にアプリデータ/ログ/キャッシュを確認</x:v>
      </x:c>
      <x:c r="I20" s="52" t="str">
        <x:v>読取データが永続保存されていない</x:v>
      </x:c>
      <x:c r="J20" s="54" t="str">
        <x:v>未実施</x:v>
      </x:c>
      <x:c r="K20" s="56" t="str"/>
      <x:c r="L20" s="54" t="str"/>
      <x:c r="M20" s="54" t="str"/>
      <x:c r="N20" s="54" t="str"/>
      <x:c r="O20" s="54" t="str">
        <x:v>高</x:v>
      </x:c>
      <x:c r="P20" s="52" t="str"/>
    </x:row>
    <x:row r="21" ht="54" customHeight="1">
      <x:c r="A21" s="54" t="n">
        <x:v>20</x:v>
      </x:c>
      <x:c r="B21" s="54" t="str">
        <x:v>SO-020</x:v>
      </x:c>
      <x:c r="C21" s="54" t="str">
        <x:v>セキュリティ・運用テスト</x:v>
      </x:c>
      <x:c r="D21" s="52" t="str">
        <x:v>データ保護</x:v>
      </x:c>
      <x:c r="E21" s="52" t="str">
        <x:v>ログ出力</x:v>
      </x:c>
      <x:c r="F21" s="52" t="str">
        <x:v>ログに個人情報・PIN・番号が出力されないこと</x:v>
      </x:c>
      <x:c r="G21" s="52" t="str">
        <x:v>Android/サーバーログ確認可能</x:v>
      </x:c>
      <x:c r="H21" s="52" t="str">
        <x:v>正常/異常読取、送信、検索を実施</x:v>
      </x:c>
      <x:c r="I21" s="52" t="str">
        <x:v>PIN、番号、氏名住所等の不要な個人情報がログに出ていない</x:v>
      </x:c>
      <x:c r="J21" s="54" t="str">
        <x:v>未実施</x:v>
      </x:c>
      <x:c r="K21" s="56" t="str"/>
      <x:c r="L21" s="54" t="str"/>
      <x:c r="M21" s="54" t="str"/>
      <x:c r="N21" s="54" t="str"/>
      <x:c r="O21" s="54" t="str">
        <x:v>高</x:v>
      </x:c>
      <x:c r="P21" s="52" t="str"/>
    </x:row>
    <x:row r="22" ht="54" customHeight="1">
      <x:c r="A22" s="54" t="n">
        <x:v>21</x:v>
      </x:c>
      <x:c r="B22" s="54" t="str">
        <x:v>SO-021</x:v>
      </x:c>
      <x:c r="C22" s="54" t="str">
        <x:v>セキュリティ・運用テスト</x:v>
      </x:c>
      <x:c r="D22" s="52" t="str">
        <x:v>データ保護</x:v>
      </x:c>
      <x:c r="E22" s="52" t="str">
        <x:v>エラー表示</x:v>
      </x:c>
      <x:c r="F22" s="52" t="str">
        <x:v>エラー画面に内部情報を出しすぎないこと</x:v>
      </x:c>
      <x:c r="G22" s="52" t="str">
        <x:v>APIエラーを発生させる</x:v>
      </x:c>
      <x:c r="H22" s="52" t="str">
        <x:v>DB停止、例外、バリデーションエラー等を確認</x:v>
      </x:c>
      <x:c r="I22" s="52" t="str">
        <x:v>利用者画面にスタックトレースや接続情報が表示されない</x:v>
      </x:c>
      <x:c r="J22" s="54" t="str">
        <x:v>未実施</x:v>
      </x:c>
      <x:c r="K22" s="56" t="str"/>
      <x:c r="L22" s="54" t="str"/>
      <x:c r="M22" s="54" t="str"/>
      <x:c r="N22" s="54" t="str"/>
      <x:c r="O22" s="54" t="str">
        <x:v>高</x:v>
      </x:c>
      <x:c r="P22" s="52" t="str"/>
    </x:row>
    <x:row r="23" ht="54" customHeight="1">
      <x:c r="A23" s="54" t="n">
        <x:v>22</x:v>
      </x:c>
      <x:c r="B23" s="54" t="str">
        <x:v>SO-022</x:v>
      </x:c>
      <x:c r="C23" s="54" t="str">
        <x:v>セキュリティ・運用テスト</x:v>
      </x:c>
      <x:c r="D23" s="52" t="str">
        <x:v>権限管理</x:v>
      </x:c>
      <x:c r="E23" s="52" t="str">
        <x:v>DB権限</x:v>
      </x:c>
      <x:c r="F23" s="52" t="str">
        <x:v>アプリDBユーザー権限が最小限であること</x:v>
      </x:c>
      <x:c r="G23" s="52" t="str">
        <x:v>DB管理者確認</x:v>
      </x:c>
      <x:c r="H23" s="52" t="str">
        <x:v>アプリ接続ユーザーの権限を確認</x:v>
      </x:c>
      <x:c r="I23" s="52" t="str">
        <x:v>不要なDDL/管理者権限を持たない</x:v>
      </x:c>
      <x:c r="J23" s="54" t="str">
        <x:v>未実施</x:v>
      </x:c>
      <x:c r="K23" s="56" t="str"/>
      <x:c r="L23" s="54" t="str"/>
      <x:c r="M23" s="54" t="str"/>
      <x:c r="N23" s="54" t="str"/>
      <x:c r="O23" s="54" t="str">
        <x:v>中</x:v>
      </x:c>
      <x:c r="P23" s="52" t="str"/>
    </x:row>
    <x:row r="24" ht="54" customHeight="1">
      <x:c r="A24" s="54" t="n">
        <x:v>23</x:v>
      </x:c>
      <x:c r="B24" s="54" t="str">
        <x:v>SO-023</x:v>
      </x:c>
      <x:c r="C24" s="54" t="str">
        <x:v>セキュリティ・運用テスト</x:v>
      </x:c>
      <x:c r="D24" s="52" t="str">
        <x:v>権限管理</x:v>
      </x:c>
      <x:c r="E24" s="52" t="str">
        <x:v>サーバーファイル権限</x:v>
      </x:c>
      <x:c r="F24" s="52" t="str">
        <x:v>Laravel .env 等の権限が適切であること</x:v>
      </x:c>
      <x:c r="G24" s="52" t="str">
        <x:v>サーバー上で確認</x:v>
      </x:c>
      <x:c r="H24" s="52" t="str">
        <x:v>設定ファイルの権限/公開範囲を確認</x:v>
      </x:c>
      <x:c r="I24" s="52" t="str">
        <x:v>.env がWeb公開されず、必要最小限のアカウントのみ読取可能</x:v>
      </x:c>
      <x:c r="J24" s="54" t="str">
        <x:v>未実施</x:v>
      </x:c>
      <x:c r="K24" s="56" t="str"/>
      <x:c r="L24" s="54" t="str"/>
      <x:c r="M24" s="54" t="str"/>
      <x:c r="N24" s="54" t="str"/>
      <x:c r="O24" s="54" t="str">
        <x:v>高</x:v>
      </x:c>
      <x:c r="P24" s="52" t="str"/>
    </x:row>
    <x:row r="25" ht="54" customHeight="1">
      <x:c r="A25" s="54" t="n">
        <x:v>24</x:v>
      </x:c>
      <x:c r="B25" s="54" t="str">
        <x:v>SO-024</x:v>
      </x:c>
      <x:c r="C25" s="54" t="str">
        <x:v>セキュリティ・運用テスト</x:v>
      </x:c>
      <x:c r="D25" s="52" t="str">
        <x:v>運用</x:v>
      </x:c>
      <x:c r="E25" s="52" t="str">
        <x:v>バックアップ</x:v>
      </x:c>
      <x:c r="F25" s="52" t="str">
        <x:v>DBバックアップ対象に必要データが含まれること</x:v>
      </x:c>
      <x:c r="G25" s="52" t="str">
        <x:v>バックアップ手順確認</x:v>
      </x:c>
      <x:c r="H25" s="52" t="str">
        <x:v>バックアップ実行・リストア検証を行う</x:v>
      </x:c>
      <x:c r="I25" s="52" t="str">
        <x:v>users、card_records、settings、sessions等の要否に従い復旧できる</x:v>
      </x:c>
      <x:c r="J25" s="54" t="str">
        <x:v>未実施</x:v>
      </x:c>
      <x:c r="K25" s="56" t="str"/>
      <x:c r="L25" s="54" t="str"/>
      <x:c r="M25" s="54" t="str"/>
      <x:c r="N25" s="54" t="str"/>
      <x:c r="O25" s="54" t="str">
        <x:v>高</x:v>
      </x:c>
      <x:c r="P25" s="52" t="str"/>
    </x:row>
    <x:row r="26" ht="54" customHeight="1">
      <x:c r="A26" s="54" t="n">
        <x:v>25</x:v>
      </x:c>
      <x:c r="B26" s="54" t="str">
        <x:v>SO-025</x:v>
      </x:c>
      <x:c r="C26" s="54" t="str">
        <x:v>セキュリティ・運用テスト</x:v>
      </x:c>
      <x:c r="D26" s="52" t="str">
        <x:v>運用</x:v>
      </x:c>
      <x:c r="E26" s="52" t="str">
        <x:v>リストア</x:v>
      </x:c>
      <x:c r="F26" s="52" t="str">
        <x:v>バックアップから復旧できること</x:v>
      </x:c>
      <x:c r="G26" s="52" t="str">
        <x:v>検証環境</x:v>
      </x:c>
      <x:c r="H26" s="52" t="str">
        <x:v>DBをバックアップから戻し、アプリ起動</x:v>
      </x:c>
      <x:c r="I26" s="52" t="str">
        <x:v>ユーザー、設定、記録一覧が復旧する</x:v>
      </x:c>
      <x:c r="J26" s="54" t="str">
        <x:v>未実施</x:v>
      </x:c>
      <x:c r="K26" s="56" t="str"/>
      <x:c r="L26" s="54" t="str"/>
      <x:c r="M26" s="54" t="str"/>
      <x:c r="N26" s="54" t="str"/>
      <x:c r="O26" s="54" t="str">
        <x:v>高</x:v>
      </x:c>
      <x:c r="P26" s="52" t="str"/>
    </x:row>
    <x:row r="27" ht="54" customHeight="1">
      <x:c r="A27" s="54" t="n">
        <x:v>26</x:v>
      </x:c>
      <x:c r="B27" s="54" t="str">
        <x:v>SO-026</x:v>
      </x:c>
      <x:c r="C27" s="54" t="str">
        <x:v>セキュリティ・運用テスト</x:v>
      </x:c>
      <x:c r="D27" s="52" t="str">
        <x:v>運用</x:v>
      </x:c>
      <x:c r="E27" s="52" t="str">
        <x:v>監査</x:v>
      </x:c>
      <x:c r="F27" s="52" t="str">
        <x:v>登録・設定変更の監査証跡が確認できること</x:v>
      </x:c>
      <x:c r="G27" s="52" t="str">
        <x:v>監査ログ仕様確認</x:v>
      </x:c>
      <x:c r="H27" s="52" t="str">
        <x:v>登録・設定変更を実施</x:v>
      </x:c>
      <x:c r="I27" s="52" t="str">
        <x:v>誰が・いつ・何を行ったか追跡できる</x:v>
      </x:c>
      <x:c r="J27" s="54" t="str">
        <x:v>未実施</x:v>
      </x:c>
      <x:c r="K27" s="56" t="str"/>
      <x:c r="L27" s="54" t="str"/>
      <x:c r="M27" s="54" t="str"/>
      <x:c r="N27" s="54" t="str"/>
      <x:c r="O27" s="54" t="str">
        <x:v>高</x:v>
      </x:c>
      <x:c r="P27" s="52" t="str">
        <x:v>未実装の場合は改善課題化</x:v>
      </x:c>
    </x:row>
    <x:row r="28" ht="54" customHeight="1">
      <x:c r="A28" s="54" t="n">
        <x:v>27</x:v>
      </x:c>
      <x:c r="B28" s="54" t="str">
        <x:v>SO-027</x:v>
      </x:c>
      <x:c r="C28" s="54" t="str">
        <x:v>セキュリティ・運用テスト</x:v>
      </x:c>
      <x:c r="D28" s="52" t="str">
        <x:v>運用</x:v>
      </x:c>
      <x:c r="E28" s="52" t="str">
        <x:v>時刻同期</x:v>
      </x:c>
      <x:c r="F28" s="52" t="str">
        <x:v>サーバー時刻が正確で登録時刻に影響しないこと</x:v>
      </x:c>
      <x:c r="G28" s="52" t="str">
        <x:v>NTP設定確認</x:v>
      </x:c>
      <x:c r="H28" s="52" t="str">
        <x:v>サーバー時刻と登録日時を確認</x:v>
      </x:c>
      <x:c r="I28" s="52" t="str">
        <x:v>時刻ズレが業務上許容範囲内である</x:v>
      </x:c>
      <x:c r="J28" s="54" t="str">
        <x:v>未実施</x:v>
      </x:c>
      <x:c r="K28" s="56" t="str"/>
      <x:c r="L28" s="54" t="str"/>
      <x:c r="M28" s="54" t="str"/>
      <x:c r="N28" s="54" t="str"/>
      <x:c r="O28" s="54" t="str">
        <x:v>中</x:v>
      </x:c>
      <x:c r="P28" s="52" t="str"/>
    </x:row>
    <x:row r="29" ht="54" customHeight="1">
      <x:c r="A29" s="54" t="n">
        <x:v>28</x:v>
      </x:c>
      <x:c r="B29" s="54" t="str">
        <x:v>SO-028</x:v>
      </x:c>
      <x:c r="C29" s="54" t="str">
        <x:v>セキュリティ・運用テスト</x:v>
      </x:c>
      <x:c r="D29" s="52" t="str">
        <x:v>運用</x:v>
      </x:c>
      <x:c r="E29" s="52" t="str">
        <x:v>端末紛失</x:v>
      </x:c>
      <x:c r="F29" s="52" t="str">
        <x:v>タブレット紛失時の影響を評価できること</x:v>
      </x:c>
      <x:c r="G29" s="52" t="str">
        <x:v>MDM/端末ロック設定確認</x:v>
      </x:c>
      <x:c r="H29" s="52" t="str">
        <x:v>端末ロック、アプリデータ、セッション有無を確認</x:v>
      </x:c>
      <x:c r="I29" s="52" t="str">
        <x:v>端末単体から不正利用・データ取得されにくい</x:v>
      </x:c>
      <x:c r="J29" s="54" t="str">
        <x:v>未実施</x:v>
      </x:c>
      <x:c r="K29" s="56" t="str"/>
      <x:c r="L29" s="54" t="str"/>
      <x:c r="M29" s="54" t="str"/>
      <x:c r="N29" s="54" t="str"/>
      <x:c r="O29" s="54" t="str">
        <x:v>高</x:v>
      </x:c>
      <x:c r="P29" s="52" t="str"/>
    </x:row>
    <x:row r="30" ht="54" customHeight="1">
      <x:c r="A30" s="54" t="n">
        <x:v>29</x:v>
      </x:c>
      <x:c r="B30" s="54" t="str">
        <x:v>SO-029</x:v>
      </x:c>
      <x:c r="C30" s="54" t="str">
        <x:v>セキュリティ・運用テスト</x:v>
      </x:c>
      <x:c r="D30" s="52" t="str">
        <x:v>運用</x:v>
      </x:c>
      <x:c r="E30" s="52" t="str">
        <x:v>ログ保管</x:v>
      </x:c>
      <x:c r="F30" s="52" t="str">
        <x:v>ログ保管期間・容量が運用可能であること</x:v>
      </x:c>
      <x:c r="G30" s="52" t="str">
        <x:v>ログ設定確認</x:v>
      </x:c>
      <x:c r="H30" s="52" t="str">
        <x:v>通常操作と異常操作を発生させログ量を確認</x:v>
      </x:c>
      <x:c r="I30" s="52" t="str">
        <x:v>必要なログが保管され、容量枯渇リスクが管理されている</x:v>
      </x:c>
      <x:c r="J30" s="54" t="str">
        <x:v>未実施</x:v>
      </x:c>
      <x:c r="K30" s="56" t="str"/>
      <x:c r="L30" s="54" t="str"/>
      <x:c r="M30" s="54" t="str"/>
      <x:c r="N30" s="54" t="str"/>
      <x:c r="O30" s="54" t="str">
        <x:v>中</x:v>
      </x:c>
      <x:c r="P30" s="52" t="str"/>
    </x:row>
    <x:row r="31" ht="54" customHeight="1">
      <x:c r="A31" s="54" t="n">
        <x:v>30</x:v>
      </x:c>
      <x:c r="B31" s="54" t="str">
        <x:v>SO-030</x:v>
      </x:c>
      <x:c r="C31" s="54" t="str">
        <x:v>セキュリティ・運用テスト</x:v>
      </x:c>
      <x:c r="D31" s="52" t="str">
        <x:v>運用</x:v>
      </x:c>
      <x:c r="E31" s="52" t="str">
        <x:v>本番切替</x:v>
      </x:c>
      <x:c r="F31" s="52" t="str">
        <x:v>本番URL/DB接続先の誤設定を検知できること</x:v>
      </x:c>
      <x:c r="G31" s="52" t="str">
        <x:v>本番移行前手順を用意</x:v>
      </x:c>
      <x:c r="H31" s="52" t="str">
        <x:v>設定ファイル、.env、接続先をチェック</x:v>
      </x:c>
      <x:c r="I31" s="52" t="str">
        <x:v>ステージング/本番の取り違えがない</x:v>
      </x:c>
      <x:c r="J31" s="54" t="str">
        <x:v>未実施</x:v>
      </x:c>
      <x:c r="K31" s="56" t="str"/>
      <x:c r="L31" s="54" t="str"/>
      <x:c r="M31" s="54" t="str"/>
      <x:c r="N31" s="54" t="str"/>
      <x:c r="O31" s="54" t="str">
        <x:v>高</x:v>
      </x:c>
      <x:c r="P31" s="52" t="str"/>
    </x:row>
    <x:row r="32" ht="54" customHeight="1">
      <x:c r="A32" s="54" t="n">
        <x:v>31</x:v>
      </x:c>
      <x:c r="B32" s="54" t="str">
        <x:v>SO-031</x:v>
      </x:c>
      <x:c r="C32" s="54" t="str">
        <x:v>セキュリティ・運用テスト</x:v>
      </x:c>
      <x:c r="D32" s="52" t="str">
        <x:v>運用</x:v>
      </x:c>
      <x:c r="E32" s="52" t="str">
        <x:v>変更管理</x:v>
      </x:c>
      <x:c r="F32" s="52" t="str">
        <x:v>設定変更・APK配布が手順化されていること</x:v>
      </x:c>
      <x:c r="G32" s="52" t="str">
        <x:v>運用手順書を用意</x:v>
      </x:c>
      <x:c r="H32" s="52" t="str">
        <x:v>サーバー設定変更、APK再配布手順をレビュー</x:v>
      </x:c>
      <x:c r="I32" s="52" t="str">
        <x:v>担当者、承認、戻し手順が明確である</x:v>
      </x:c>
      <x:c r="J32" s="54" t="str">
        <x:v>未実施</x:v>
      </x:c>
      <x:c r="K32" s="56" t="str"/>
      <x:c r="L32" s="54" t="str"/>
      <x:c r="M32" s="54" t="str"/>
      <x:c r="N32" s="54" t="str"/>
      <x:c r="O32" s="54" t="str">
        <x:v>中</x:v>
      </x:c>
      <x:c r="P32" s="52" t="str"/>
    </x:row>
    <x:row r="33" ht="54" customHeight="1">
      <x:c r="A33" s="54" t="n">
        <x:v>32</x:v>
      </x:c>
      <x:c r="B33" s="54" t="str">
        <x:v>SO-032</x:v>
      </x:c>
      <x:c r="C33" s="54" t="str">
        <x:v>セキュリティ・運用テスト</x:v>
      </x:c>
      <x:c r="D33" s="52" t="str">
        <x:v>脆弱性確認</x:v>
      </x:c>
      <x:c r="E33" s="52" t="str">
        <x:v>依存ライブラリ</x:v>
      </x:c>
      <x:c r="F33" s="52" t="str">
        <x:v>利用ライブラリに既知脆弱性がないこと</x:v>
      </x:c>
      <x:c r="G33" s="52" t="str">
        <x:v>composer/npm/gradle の依存一覧確認</x:v>
      </x:c>
      <x:c r="H33" s="52" t="str">
        <x:v>脆弱性チェック結果を確認する</x:v>
      </x:c>
      <x:c r="I33" s="52" t="str">
        <x:v>重大な既知脆弱性がない、または対応方針が記録されている</x:v>
      </x:c>
      <x:c r="J33" s="54" t="str">
        <x:v>未実施</x:v>
      </x:c>
      <x:c r="K33" s="56" t="str"/>
      <x:c r="L33" s="54" t="str"/>
      <x:c r="M33" s="54" t="str"/>
      <x:c r="N33" s="54" t="str"/>
      <x:c r="O33" s="54" t="str">
        <x:v>高</x:v>
      </x:c>
      <x:c r="P33" s="52" t="str"/>
    </x:row>
    <x:row r="34" ht="54" customHeight="1">
      <x:c r="A34" s="54" t="n">
        <x:v>33</x:v>
      </x:c>
      <x:c r="B34" s="54" t="str">
        <x:v>SO-033</x:v>
      </x:c>
      <x:c r="C34" s="54" t="str">
        <x:v>セキュリティ・運用テスト</x:v>
      </x:c>
      <x:c r="D34" s="52" t="str">
        <x:v>脆弱性確認</x:v>
      </x:c>
      <x:c r="E34" s="52" t="str">
        <x:v>デバッグ機能</x:v>
      </x:c>
      <x:c r="F34" s="52" t="str">
        <x:v>PCモックやデバッグ用機能が本番で悪用されないこと</x:v>
      </x:c>
      <x:c r="G34" s="52" t="str">
        <x:v>本番相当ビルド/環境</x:v>
      </x:c>
      <x:c r="H34" s="52" t="str">
        <x:v>Bridge.mockCard等の利用可否を確認</x:v>
      </x:c>
      <x:c r="I34" s="52" t="str">
        <x:v>本番運用上問題ない範囲に制限されている</x:v>
      </x:c>
      <x:c r="J34" s="54" t="str">
        <x:v>未実施</x:v>
      </x:c>
      <x:c r="K34" s="56" t="str"/>
      <x:c r="L34" s="54" t="str"/>
      <x:c r="M34" s="54" t="str"/>
      <x:c r="N34" s="54" t="str"/>
      <x:c r="O34" s="54" t="str">
        <x:v>中</x:v>
      </x:c>
      <x:c r="P34" s="52" t="str"/>
    </x:row>
  </x:sheetData>
  <x:dataValidations count="2">
    <x:dataValidation type="list" allowBlank="1" showDropDown="0" sqref="J2:J200">
      <x:formula1>"未実施,OK,NG,保留,対象外"</x:formula1>
    </x:dataValidation>
    <x:dataValidation type="list" allowBlank="1" showDropDown="0" sqref="O2:O200">
      <x:formula1>"高,中,低"</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6" hidden="0" customWidth="1"/>
    <x:col min="2" max="2" width="14" hidden="0" customWidth="1"/>
    <x:col min="3" max="3" width="12" hidden="0" customWidth="1"/>
    <x:col min="4" max="4" width="15" hidden="0" customWidth="1"/>
    <x:col min="5" max="5" width="10" hidden="0" customWidth="1"/>
    <x:col min="6" max="6" width="10" hidden="0" customWidth="1"/>
    <x:col min="7" max="7" width="32" hidden="0" customWidth="1"/>
    <x:col min="8" max="8" width="42" hidden="0" customWidth="1"/>
    <x:col min="9" max="9" width="35" hidden="0" customWidth="1"/>
    <x:col min="10" max="10" width="35" hidden="0" customWidth="1"/>
    <x:col min="11" max="11" width="28" hidden="0" customWidth="1"/>
    <x:col min="12" max="12" width="30" hidden="0" customWidth="1"/>
    <x:col min="13" max="13" width="12" hidden="0" customWidth="1"/>
    <x:col min="14" max="14" width="14" hidden="0" customWidth="1"/>
    <x:col min="15" max="15" width="12" hidden="0" customWidth="1"/>
    <x:col min="16" max="16" width="24" hidden="0" customWidth="1"/>
  </x:cols>
  <x:sheetData>
    <x:row r="1" ht="30" customHeight="1">
      <x:c r="A1" s="28" t="str">
        <x:v>No.</x:v>
      </x:c>
      <x:c r="B1" s="28" t="str">
        <x:v>不具合票</x:v>
      </x:c>
      <x:c r="C1" s="58" t="str">
        <x:v>発生日</x:v>
      </x:c>
      <x:c r="D1" s="28" t="str">
        <x:v>工程</x:v>
      </x:c>
      <x:c r="E1" s="28" t="str">
        <x:v>テストID</x:v>
      </x:c>
      <x:c r="F1" s="28" t="str">
        <x:v>重要度</x:v>
      </x:c>
      <x:c r="G1" s="28" t="str">
        <x:v>概要</x:v>
      </x:c>
      <x:c r="H1" s="28" t="str">
        <x:v>再現手順</x:v>
      </x:c>
      <x:c r="I1" s="28" t="str">
        <x:v>期待結果</x:v>
      </x:c>
      <x:c r="J1" s="28" t="str">
        <x:v>実際結果</x:v>
      </x:c>
      <x:c r="K1" s="28" t="str">
        <x:v>原因</x:v>
      </x:c>
      <x:c r="L1" s="28" t="str">
        <x:v>対応方針</x:v>
      </x:c>
      <x:c r="M1" s="28" t="str">
        <x:v>状態</x:v>
      </x:c>
      <x:c r="N1" s="28" t="str">
        <x:v>担当</x:v>
      </x:c>
      <x:c r="O1" s="58" t="str">
        <x:v>完了日</x:v>
      </x:c>
      <x:c r="P1" s="28" t="str">
        <x:v>備考</x:v>
      </x:c>
    </x:row>
    <x:row r="2" ht="42" customHeight="1">
      <x:c r="A2" s="11" t="n">
        <x:v>1</x:v>
      </x:c>
      <x:c r="B2" s="11" t="str"/>
      <x:c r="C2" s="11" t="str"/>
      <x:c r="D2" s="11" t="str"/>
      <x:c r="E2" s="11" t="str"/>
      <x:c r="F2" s="11" t="str"/>
      <x:c r="G2" s="11" t="str"/>
      <x:c r="H2" s="11" t="str"/>
      <x:c r="I2" s="11" t="str"/>
      <x:c r="J2" s="11" t="str"/>
      <x:c r="K2" s="11" t="str"/>
      <x:c r="L2" s="11" t="str"/>
      <x:c r="M2" s="11" t="str"/>
      <x:c r="N2" s="11" t="str"/>
      <x:c r="O2" s="11" t="str"/>
      <x:c r="P2" s="11" t="str"/>
    </x:row>
    <x:row r="3" ht="42" customHeight="1">
      <x:c r="A3" s="11" t="n">
        <x:v>2</x:v>
      </x:c>
      <x:c r="B3" s="11" t="str"/>
      <x:c r="C3" s="11" t="str"/>
      <x:c r="D3" s="11" t="str"/>
      <x:c r="E3" s="11" t="str"/>
      <x:c r="F3" s="11" t="str"/>
      <x:c r="G3" s="11" t="str"/>
      <x:c r="H3" s="11" t="str"/>
      <x:c r="I3" s="11" t="str"/>
      <x:c r="J3" s="11" t="str"/>
      <x:c r="K3" s="11" t="str"/>
      <x:c r="L3" s="11" t="str"/>
      <x:c r="M3" s="11" t="str"/>
      <x:c r="N3" s="11" t="str"/>
      <x:c r="O3" s="11" t="str"/>
      <x:c r="P3" s="11" t="str"/>
    </x:row>
    <x:row r="4" ht="42" customHeight="1">
      <x:c r="A4" s="11" t="n">
        <x:v>3</x:v>
      </x:c>
      <x:c r="B4" s="11" t="str"/>
      <x:c r="C4" s="11" t="str"/>
      <x:c r="D4" s="11" t="str"/>
      <x:c r="E4" s="11" t="str"/>
      <x:c r="F4" s="11" t="str"/>
      <x:c r="G4" s="11" t="str"/>
      <x:c r="H4" s="11" t="str"/>
      <x:c r="I4" s="11" t="str"/>
      <x:c r="J4" s="11" t="str"/>
      <x:c r="K4" s="11" t="str"/>
      <x:c r="L4" s="11" t="str"/>
      <x:c r="M4" s="11" t="str"/>
      <x:c r="N4" s="11" t="str"/>
      <x:c r="O4" s="11" t="str"/>
      <x:c r="P4" s="11" t="str"/>
    </x:row>
    <x:row r="5" ht="42" customHeight="1">
      <x:c r="A5" s="11" t="n">
        <x:v>4</x:v>
      </x:c>
      <x:c r="B5" s="11" t="str"/>
      <x:c r="C5" s="11" t="str"/>
      <x:c r="D5" s="11" t="str"/>
      <x:c r="E5" s="11" t="str"/>
      <x:c r="F5" s="11" t="str"/>
      <x:c r="G5" s="11" t="str"/>
      <x:c r="H5" s="11" t="str"/>
      <x:c r="I5" s="11" t="str"/>
      <x:c r="J5" s="11" t="str"/>
      <x:c r="K5" s="11" t="str"/>
      <x:c r="L5" s="11" t="str"/>
      <x:c r="M5" s="11" t="str"/>
      <x:c r="N5" s="11" t="str"/>
      <x:c r="O5" s="11" t="str"/>
      <x:c r="P5" s="11" t="str"/>
    </x:row>
    <x:row r="6" ht="42" customHeight="1">
      <x:c r="A6" s="11" t="n">
        <x:v>5</x:v>
      </x:c>
      <x:c r="B6" s="11" t="str"/>
      <x:c r="C6" s="11" t="str"/>
      <x:c r="D6" s="11" t="str"/>
      <x:c r="E6" s="11" t="str"/>
      <x:c r="F6" s="11" t="str"/>
      <x:c r="G6" s="11" t="str"/>
      <x:c r="H6" s="11" t="str"/>
      <x:c r="I6" s="11" t="str"/>
      <x:c r="J6" s="11" t="str"/>
      <x:c r="K6" s="11" t="str"/>
      <x:c r="L6" s="11" t="str"/>
      <x:c r="M6" s="11" t="str"/>
      <x:c r="N6" s="11" t="str"/>
      <x:c r="O6" s="11" t="str"/>
      <x:c r="P6" s="11" t="str"/>
    </x:row>
    <x:row r="7" ht="42" customHeight="1">
      <x:c r="A7" s="11" t="n">
        <x:v>6</x:v>
      </x:c>
      <x:c r="B7" s="11" t="str"/>
      <x:c r="C7" s="11" t="str"/>
      <x:c r="D7" s="11" t="str"/>
      <x:c r="E7" s="11" t="str"/>
      <x:c r="F7" s="11" t="str"/>
      <x:c r="G7" s="11" t="str"/>
      <x:c r="H7" s="11" t="str"/>
      <x:c r="I7" s="11" t="str"/>
      <x:c r="J7" s="11" t="str"/>
      <x:c r="K7" s="11" t="str"/>
      <x:c r="L7" s="11" t="str"/>
      <x:c r="M7" s="11" t="str"/>
      <x:c r="N7" s="11" t="str"/>
      <x:c r="O7" s="11" t="str"/>
      <x:c r="P7" s="11" t="str"/>
    </x:row>
    <x:row r="8" ht="42" customHeight="1">
      <x:c r="A8" s="11" t="n">
        <x:v>7</x:v>
      </x:c>
      <x:c r="B8" s="11" t="str"/>
      <x:c r="C8" s="11" t="str"/>
      <x:c r="D8" s="11" t="str"/>
      <x:c r="E8" s="11" t="str"/>
      <x:c r="F8" s="11" t="str"/>
      <x:c r="G8" s="11" t="str"/>
      <x:c r="H8" s="11" t="str"/>
      <x:c r="I8" s="11" t="str"/>
      <x:c r="J8" s="11" t="str"/>
      <x:c r="K8" s="11" t="str"/>
      <x:c r="L8" s="11" t="str"/>
      <x:c r="M8" s="11" t="str"/>
      <x:c r="N8" s="11" t="str"/>
      <x:c r="O8" s="11" t="str"/>
      <x:c r="P8" s="11" t="str"/>
    </x:row>
    <x:row r="9" ht="42" customHeight="1">
      <x:c r="A9" s="11" t="n">
        <x:v>8</x:v>
      </x:c>
      <x:c r="B9" s="11" t="str"/>
      <x:c r="C9" s="11" t="str"/>
      <x:c r="D9" s="11" t="str"/>
      <x:c r="E9" s="11" t="str"/>
      <x:c r="F9" s="11" t="str"/>
      <x:c r="G9" s="11" t="str"/>
      <x:c r="H9" s="11" t="str"/>
      <x:c r="I9" s="11" t="str"/>
      <x:c r="J9" s="11" t="str"/>
      <x:c r="K9" s="11" t="str"/>
      <x:c r="L9" s="11" t="str"/>
      <x:c r="M9" s="11" t="str"/>
      <x:c r="N9" s="11" t="str"/>
      <x:c r="O9" s="11" t="str"/>
      <x:c r="P9" s="11" t="str"/>
    </x:row>
    <x:row r="10" ht="42" customHeight="1">
      <x:c r="A10" s="11" t="n">
        <x:v>9</x:v>
      </x:c>
      <x:c r="B10" s="11" t="str"/>
      <x:c r="C10" s="11" t="str"/>
      <x:c r="D10" s="11" t="str"/>
      <x:c r="E10" s="11" t="str"/>
      <x:c r="F10" s="11" t="str"/>
      <x:c r="G10" s="11" t="str"/>
      <x:c r="H10" s="11" t="str"/>
      <x:c r="I10" s="11" t="str"/>
      <x:c r="J10" s="11" t="str"/>
      <x:c r="K10" s="11" t="str"/>
      <x:c r="L10" s="11" t="str"/>
      <x:c r="M10" s="11" t="str"/>
      <x:c r="N10" s="11" t="str"/>
      <x:c r="O10" s="11" t="str"/>
      <x:c r="P10" s="11" t="str"/>
    </x:row>
    <x:row r="11" ht="42" customHeight="1">
      <x:c r="A11" s="11" t="n">
        <x:v>10</x:v>
      </x:c>
      <x:c r="B11" s="11" t="str"/>
      <x:c r="C11" s="11" t="str"/>
      <x:c r="D11" s="11" t="str"/>
      <x:c r="E11" s="11" t="str"/>
      <x:c r="F11" s="11" t="str"/>
      <x:c r="G11" s="11" t="str"/>
      <x:c r="H11" s="11" t="str"/>
      <x:c r="I11" s="11" t="str"/>
      <x:c r="J11" s="11" t="str"/>
      <x:c r="K11" s="11" t="str"/>
      <x:c r="L11" s="11" t="str"/>
      <x:c r="M11" s="11" t="str"/>
      <x:c r="N11" s="11" t="str"/>
      <x:c r="O11" s="11" t="str"/>
      <x:c r="P11" s="11" t="str"/>
    </x:row>
    <x:row r="12" ht="42" customHeight="1">
      <x:c r="A12" s="11" t="n">
        <x:v>11</x:v>
      </x:c>
      <x:c r="B12" s="11" t="str"/>
      <x:c r="C12" s="11" t="str"/>
      <x:c r="D12" s="11" t="str"/>
      <x:c r="E12" s="11" t="str"/>
      <x:c r="F12" s="11" t="str"/>
      <x:c r="G12" s="11" t="str"/>
      <x:c r="H12" s="11" t="str"/>
      <x:c r="I12" s="11" t="str"/>
      <x:c r="J12" s="11" t="str"/>
      <x:c r="K12" s="11" t="str"/>
      <x:c r="L12" s="11" t="str"/>
      <x:c r="M12" s="11" t="str"/>
      <x:c r="N12" s="11" t="str"/>
      <x:c r="O12" s="11" t="str"/>
      <x:c r="P12" s="11" t="str"/>
    </x:row>
    <x:row r="13" ht="42" customHeight="1">
      <x:c r="A13" s="11" t="n">
        <x:v>12</x:v>
      </x:c>
      <x:c r="B13" s="11" t="str"/>
      <x:c r="C13" s="11" t="str"/>
      <x:c r="D13" s="11" t="str"/>
      <x:c r="E13" s="11" t="str"/>
      <x:c r="F13" s="11" t="str"/>
      <x:c r="G13" s="11" t="str"/>
      <x:c r="H13" s="11" t="str"/>
      <x:c r="I13" s="11" t="str"/>
      <x:c r="J13" s="11" t="str"/>
      <x:c r="K13" s="11" t="str"/>
      <x:c r="L13" s="11" t="str"/>
      <x:c r="M13" s="11" t="str"/>
      <x:c r="N13" s="11" t="str"/>
      <x:c r="O13" s="11" t="str"/>
      <x:c r="P13" s="11" t="str"/>
    </x:row>
    <x:row r="14" ht="42" customHeight="1">
      <x:c r="A14" s="11" t="n">
        <x:v>13</x:v>
      </x:c>
      <x:c r="B14" s="11" t="str"/>
      <x:c r="C14" s="11" t="str"/>
      <x:c r="D14" s="11" t="str"/>
      <x:c r="E14" s="11" t="str"/>
      <x:c r="F14" s="11" t="str"/>
      <x:c r="G14" s="11" t="str"/>
      <x:c r="H14" s="11" t="str"/>
      <x:c r="I14" s="11" t="str"/>
      <x:c r="J14" s="11" t="str"/>
      <x:c r="K14" s="11" t="str"/>
      <x:c r="L14" s="11" t="str"/>
      <x:c r="M14" s="11" t="str"/>
      <x:c r="N14" s="11" t="str"/>
      <x:c r="O14" s="11" t="str"/>
      <x:c r="P14" s="11" t="str"/>
    </x:row>
    <x:row r="15" ht="42" customHeight="1">
      <x:c r="A15" s="11" t="n">
        <x:v>14</x:v>
      </x:c>
      <x:c r="B15" s="11" t="str"/>
      <x:c r="C15" s="11" t="str"/>
      <x:c r="D15" s="11" t="str"/>
      <x:c r="E15" s="11" t="str"/>
      <x:c r="F15" s="11" t="str"/>
      <x:c r="G15" s="11" t="str"/>
      <x:c r="H15" s="11" t="str"/>
      <x:c r="I15" s="11" t="str"/>
      <x:c r="J15" s="11" t="str"/>
      <x:c r="K15" s="11" t="str"/>
      <x:c r="L15" s="11" t="str"/>
      <x:c r="M15" s="11" t="str"/>
      <x:c r="N15" s="11" t="str"/>
      <x:c r="O15" s="11" t="str"/>
      <x:c r="P15" s="11" t="str"/>
    </x:row>
    <x:row r="16" ht="42" customHeight="1">
      <x:c r="A16" s="11" t="n">
        <x:v>15</x:v>
      </x:c>
      <x:c r="B16" s="11" t="str"/>
      <x:c r="C16" s="11" t="str"/>
      <x:c r="D16" s="11" t="str"/>
      <x:c r="E16" s="11" t="str"/>
      <x:c r="F16" s="11" t="str"/>
      <x:c r="G16" s="11" t="str"/>
      <x:c r="H16" s="11" t="str"/>
      <x:c r="I16" s="11" t="str"/>
      <x:c r="J16" s="11" t="str"/>
      <x:c r="K16" s="11" t="str"/>
      <x:c r="L16" s="11" t="str"/>
      <x:c r="M16" s="11" t="str"/>
      <x:c r="N16" s="11" t="str"/>
      <x:c r="O16" s="11" t="str"/>
      <x:c r="P16" s="11" t="str"/>
    </x:row>
    <x:row r="17" ht="42" customHeight="1">
      <x:c r="A17" s="11" t="n">
        <x:v>16</x:v>
      </x:c>
      <x:c r="B17" s="11" t="str"/>
      <x:c r="C17" s="11" t="str"/>
      <x:c r="D17" s="11" t="str"/>
      <x:c r="E17" s="11" t="str"/>
      <x:c r="F17" s="11" t="str"/>
      <x:c r="G17" s="11" t="str"/>
      <x:c r="H17" s="11" t="str"/>
      <x:c r="I17" s="11" t="str"/>
      <x:c r="J17" s="11" t="str"/>
      <x:c r="K17" s="11" t="str"/>
      <x:c r="L17" s="11" t="str"/>
      <x:c r="M17" s="11" t="str"/>
      <x:c r="N17" s="11" t="str"/>
      <x:c r="O17" s="11" t="str"/>
      <x:c r="P17" s="11" t="str"/>
    </x:row>
    <x:row r="18" ht="42" customHeight="1">
      <x:c r="A18" s="11" t="n">
        <x:v>17</x:v>
      </x:c>
      <x:c r="B18" s="11" t="str"/>
      <x:c r="C18" s="11" t="str"/>
      <x:c r="D18" s="11" t="str"/>
      <x:c r="E18" s="11" t="str"/>
      <x:c r="F18" s="11" t="str"/>
      <x:c r="G18" s="11" t="str"/>
      <x:c r="H18" s="11" t="str"/>
      <x:c r="I18" s="11" t="str"/>
      <x:c r="J18" s="11" t="str"/>
      <x:c r="K18" s="11" t="str"/>
      <x:c r="L18" s="11" t="str"/>
      <x:c r="M18" s="11" t="str"/>
      <x:c r="N18" s="11" t="str"/>
      <x:c r="O18" s="11" t="str"/>
      <x:c r="P18" s="11" t="str"/>
    </x:row>
    <x:row r="19" ht="42" customHeight="1">
      <x:c r="A19" s="11" t="n">
        <x:v>18</x:v>
      </x:c>
      <x:c r="B19" s="11" t="str"/>
      <x:c r="C19" s="11" t="str"/>
      <x:c r="D19" s="11" t="str"/>
      <x:c r="E19" s="11" t="str"/>
      <x:c r="F19" s="11" t="str"/>
      <x:c r="G19" s="11" t="str"/>
      <x:c r="H19" s="11" t="str"/>
      <x:c r="I19" s="11" t="str"/>
      <x:c r="J19" s="11" t="str"/>
      <x:c r="K19" s="11" t="str"/>
      <x:c r="L19" s="11" t="str"/>
      <x:c r="M19" s="11" t="str"/>
      <x:c r="N19" s="11" t="str"/>
      <x:c r="O19" s="11" t="str"/>
      <x:c r="P19" s="11" t="str"/>
    </x:row>
    <x:row r="20" ht="42" customHeight="1">
      <x:c r="A20" s="11" t="n">
        <x:v>19</x:v>
      </x:c>
      <x:c r="B20" s="11" t="str"/>
      <x:c r="C20" s="11" t="str"/>
      <x:c r="D20" s="11" t="str"/>
      <x:c r="E20" s="11" t="str"/>
      <x:c r="F20" s="11" t="str"/>
      <x:c r="G20" s="11" t="str"/>
      <x:c r="H20" s="11" t="str"/>
      <x:c r="I20" s="11" t="str"/>
      <x:c r="J20" s="11" t="str"/>
      <x:c r="K20" s="11" t="str"/>
      <x:c r="L20" s="11" t="str"/>
      <x:c r="M20" s="11" t="str"/>
      <x:c r="N20" s="11" t="str"/>
      <x:c r="O20" s="11" t="str"/>
      <x:c r="P20" s="11" t="str"/>
    </x:row>
    <x:row r="21" ht="42" customHeight="1">
      <x:c r="A21" s="11" t="n">
        <x:v>20</x:v>
      </x:c>
      <x:c r="B21" s="11" t="str"/>
      <x:c r="C21" s="11" t="str"/>
      <x:c r="D21" s="11" t="str"/>
      <x:c r="E21" s="11" t="str"/>
      <x:c r="F21" s="11" t="str"/>
      <x:c r="G21" s="11" t="str"/>
      <x:c r="H21" s="11" t="str"/>
      <x:c r="I21" s="11" t="str"/>
      <x:c r="J21" s="11" t="str"/>
      <x:c r="K21" s="11" t="str"/>
      <x:c r="L21" s="11" t="str"/>
      <x:c r="M21" s="11" t="str"/>
      <x:c r="N21" s="11" t="str"/>
      <x:c r="O21" s="11" t="str"/>
      <x:c r="P21" s="11" t="str"/>
    </x:row>
    <x:row r="22" ht="42" customHeight="1">
      <x:c r="A22" s="11" t="n">
        <x:v>21</x:v>
      </x:c>
      <x:c r="B22" s="11" t="str"/>
      <x:c r="C22" s="11" t="str"/>
      <x:c r="D22" s="11" t="str"/>
      <x:c r="E22" s="11" t="str"/>
      <x:c r="F22" s="11" t="str"/>
      <x:c r="G22" s="11" t="str"/>
      <x:c r="H22" s="11" t="str"/>
      <x:c r="I22" s="11" t="str"/>
      <x:c r="J22" s="11" t="str"/>
      <x:c r="K22" s="11" t="str"/>
      <x:c r="L22" s="11" t="str"/>
      <x:c r="M22" s="11" t="str"/>
      <x:c r="N22" s="11" t="str"/>
      <x:c r="O22" s="11" t="str"/>
      <x:c r="P22" s="11" t="str"/>
    </x:row>
    <x:row r="23" ht="42" customHeight="1">
      <x:c r="A23" s="11" t="n">
        <x:v>22</x:v>
      </x:c>
      <x:c r="B23" s="11" t="str"/>
      <x:c r="C23" s="11" t="str"/>
      <x:c r="D23" s="11" t="str"/>
      <x:c r="E23" s="11" t="str"/>
      <x:c r="F23" s="11" t="str"/>
      <x:c r="G23" s="11" t="str"/>
      <x:c r="H23" s="11" t="str"/>
      <x:c r="I23" s="11" t="str"/>
      <x:c r="J23" s="11" t="str"/>
      <x:c r="K23" s="11" t="str"/>
      <x:c r="L23" s="11" t="str"/>
      <x:c r="M23" s="11" t="str"/>
      <x:c r="N23" s="11" t="str"/>
      <x:c r="O23" s="11" t="str"/>
      <x:c r="P23" s="11" t="str"/>
    </x:row>
    <x:row r="24" ht="42" customHeight="1">
      <x:c r="A24" s="11" t="n">
        <x:v>23</x:v>
      </x:c>
      <x:c r="B24" s="11" t="str"/>
      <x:c r="C24" s="11" t="str"/>
      <x:c r="D24" s="11" t="str"/>
      <x:c r="E24" s="11" t="str"/>
      <x:c r="F24" s="11" t="str"/>
      <x:c r="G24" s="11" t="str"/>
      <x:c r="H24" s="11" t="str"/>
      <x:c r="I24" s="11" t="str"/>
      <x:c r="J24" s="11" t="str"/>
      <x:c r="K24" s="11" t="str"/>
      <x:c r="L24" s="11" t="str"/>
      <x:c r="M24" s="11" t="str"/>
      <x:c r="N24" s="11" t="str"/>
      <x:c r="O24" s="11" t="str"/>
      <x:c r="P24" s="11" t="str"/>
    </x:row>
    <x:row r="25" ht="42" customHeight="1">
      <x:c r="A25" s="11" t="n">
        <x:v>24</x:v>
      </x:c>
      <x:c r="B25" s="11" t="str"/>
      <x:c r="C25" s="11" t="str"/>
      <x:c r="D25" s="11" t="str"/>
      <x:c r="E25" s="11" t="str"/>
      <x:c r="F25" s="11" t="str"/>
      <x:c r="G25" s="11" t="str"/>
      <x:c r="H25" s="11" t="str"/>
      <x:c r="I25" s="11" t="str"/>
      <x:c r="J25" s="11" t="str"/>
      <x:c r="K25" s="11" t="str"/>
      <x:c r="L25" s="11" t="str"/>
      <x:c r="M25" s="11" t="str"/>
      <x:c r="N25" s="11" t="str"/>
      <x:c r="O25" s="11" t="str"/>
      <x:c r="P25" s="11" t="str"/>
    </x:row>
    <x:row r="26" ht="42" customHeight="1">
      <x:c r="A26" s="11" t="n">
        <x:v>25</x:v>
      </x:c>
      <x:c r="B26" s="11" t="str"/>
      <x:c r="C26" s="11" t="str"/>
      <x:c r="D26" s="11" t="str"/>
      <x:c r="E26" s="11" t="str"/>
      <x:c r="F26" s="11" t="str"/>
      <x:c r="G26" s="11" t="str"/>
      <x:c r="H26" s="11" t="str"/>
      <x:c r="I26" s="11" t="str"/>
      <x:c r="J26" s="11" t="str"/>
      <x:c r="K26" s="11" t="str"/>
      <x:c r="L26" s="11" t="str"/>
      <x:c r="M26" s="11" t="str"/>
      <x:c r="N26" s="11" t="str"/>
      <x:c r="O26" s="11" t="str"/>
      <x:c r="P26" s="11" t="str"/>
    </x:row>
    <x:row r="27" ht="42" customHeight="1">
      <x:c r="A27" s="11" t="n">
        <x:v>26</x:v>
      </x:c>
      <x:c r="B27" s="11" t="str"/>
      <x:c r="C27" s="11" t="str"/>
      <x:c r="D27" s="11" t="str"/>
      <x:c r="E27" s="11" t="str"/>
      <x:c r="F27" s="11" t="str"/>
      <x:c r="G27" s="11" t="str"/>
      <x:c r="H27" s="11" t="str"/>
      <x:c r="I27" s="11" t="str"/>
      <x:c r="J27" s="11" t="str"/>
      <x:c r="K27" s="11" t="str"/>
      <x:c r="L27" s="11" t="str"/>
      <x:c r="M27" s="11" t="str"/>
      <x:c r="N27" s="11" t="str"/>
      <x:c r="O27" s="11" t="str"/>
      <x:c r="P27" s="11" t="str"/>
    </x:row>
    <x:row r="28" ht="42" customHeight="1">
      <x:c r="A28" s="11" t="n">
        <x:v>27</x:v>
      </x:c>
      <x:c r="B28" s="11" t="str"/>
      <x:c r="C28" s="11" t="str"/>
      <x:c r="D28" s="11" t="str"/>
      <x:c r="E28" s="11" t="str"/>
      <x:c r="F28" s="11" t="str"/>
      <x:c r="G28" s="11" t="str"/>
      <x:c r="H28" s="11" t="str"/>
      <x:c r="I28" s="11" t="str"/>
      <x:c r="J28" s="11" t="str"/>
      <x:c r="K28" s="11" t="str"/>
      <x:c r="L28" s="11" t="str"/>
      <x:c r="M28" s="11" t="str"/>
      <x:c r="N28" s="11" t="str"/>
      <x:c r="O28" s="11" t="str"/>
      <x:c r="P28" s="11" t="str"/>
    </x:row>
    <x:row r="29" ht="42" customHeight="1">
      <x:c r="A29" s="11" t="n">
        <x:v>28</x:v>
      </x:c>
      <x:c r="B29" s="11" t="str"/>
      <x:c r="C29" s="11" t="str"/>
      <x:c r="D29" s="11" t="str"/>
      <x:c r="E29" s="11" t="str"/>
      <x:c r="F29" s="11" t="str"/>
      <x:c r="G29" s="11" t="str"/>
      <x:c r="H29" s="11" t="str"/>
      <x:c r="I29" s="11" t="str"/>
      <x:c r="J29" s="11" t="str"/>
      <x:c r="K29" s="11" t="str"/>
      <x:c r="L29" s="11" t="str"/>
      <x:c r="M29" s="11" t="str"/>
      <x:c r="N29" s="11" t="str"/>
      <x:c r="O29" s="11" t="str"/>
      <x:c r="P29" s="11" t="str"/>
    </x:row>
    <x:row r="30" ht="42" customHeight="1">
      <x:c r="A30" s="11" t="n">
        <x:v>29</x:v>
      </x:c>
      <x:c r="B30" s="11" t="str"/>
      <x:c r="C30" s="11" t="str"/>
      <x:c r="D30" s="11" t="str"/>
      <x:c r="E30" s="11" t="str"/>
      <x:c r="F30" s="11" t="str"/>
      <x:c r="G30" s="11" t="str"/>
      <x:c r="H30" s="11" t="str"/>
      <x:c r="I30" s="11" t="str"/>
      <x:c r="J30" s="11" t="str"/>
      <x:c r="K30" s="11" t="str"/>
      <x:c r="L30" s="11" t="str"/>
      <x:c r="M30" s="11" t="str"/>
      <x:c r="N30" s="11" t="str"/>
      <x:c r="O30" s="11" t="str"/>
      <x:c r="P30" s="11" t="str"/>
    </x:row>
    <x:row r="31" ht="42" customHeight="1">
      <x:c r="A31" s="11" t="n">
        <x:v>30</x:v>
      </x:c>
      <x:c r="B31" s="11" t="str"/>
      <x:c r="C31" s="11" t="str"/>
      <x:c r="D31" s="11" t="str"/>
      <x:c r="E31" s="11" t="str"/>
      <x:c r="F31" s="11" t="str"/>
      <x:c r="G31" s="11" t="str"/>
      <x:c r="H31" s="11" t="str"/>
      <x:c r="I31" s="11" t="str"/>
      <x:c r="J31" s="11" t="str"/>
      <x:c r="K31" s="11" t="str"/>
      <x:c r="L31" s="11" t="str"/>
      <x:c r="M31" s="11" t="str"/>
      <x:c r="N31" s="11" t="str"/>
      <x:c r="O31" s="11" t="str"/>
      <x:c r="P31" s="11" t="str"/>
    </x:row>
    <x:row r="32" ht="42" customHeight="1">
      <x:c r="A32" s="11" t="n">
        <x:v>31</x:v>
      </x:c>
      <x:c r="B32" s="11" t="str"/>
      <x:c r="C32" s="11" t="str"/>
      <x:c r="D32" s="11" t="str"/>
      <x:c r="E32" s="11" t="str"/>
      <x:c r="F32" s="11" t="str"/>
      <x:c r="G32" s="11" t="str"/>
      <x:c r="H32" s="11" t="str"/>
      <x:c r="I32" s="11" t="str"/>
      <x:c r="J32" s="11" t="str"/>
      <x:c r="K32" s="11" t="str"/>
      <x:c r="L32" s="11" t="str"/>
      <x:c r="M32" s="11" t="str"/>
      <x:c r="N32" s="11" t="str"/>
      <x:c r="O32" s="11" t="str"/>
      <x:c r="P32" s="11" t="str"/>
    </x:row>
    <x:row r="33" ht="42" customHeight="1">
      <x:c r="A33" s="11" t="n">
        <x:v>32</x:v>
      </x:c>
      <x:c r="B33" s="11" t="str"/>
      <x:c r="C33" s="11" t="str"/>
      <x:c r="D33" s="11" t="str"/>
      <x:c r="E33" s="11" t="str"/>
      <x:c r="F33" s="11" t="str"/>
      <x:c r="G33" s="11" t="str"/>
      <x:c r="H33" s="11" t="str"/>
      <x:c r="I33" s="11" t="str"/>
      <x:c r="J33" s="11" t="str"/>
      <x:c r="K33" s="11" t="str"/>
      <x:c r="L33" s="11" t="str"/>
      <x:c r="M33" s="11" t="str"/>
      <x:c r="N33" s="11" t="str"/>
      <x:c r="O33" s="11" t="str"/>
      <x:c r="P33" s="11" t="str"/>
    </x:row>
    <x:row r="34" ht="42" customHeight="1">
      <x:c r="A34" s="11" t="n">
        <x:v>33</x:v>
      </x:c>
      <x:c r="B34" s="11" t="str"/>
      <x:c r="C34" s="11" t="str"/>
      <x:c r="D34" s="11" t="str"/>
      <x:c r="E34" s="11" t="str"/>
      <x:c r="F34" s="11" t="str"/>
      <x:c r="G34" s="11" t="str"/>
      <x:c r="H34" s="11" t="str"/>
      <x:c r="I34" s="11" t="str"/>
      <x:c r="J34" s="11" t="str"/>
      <x:c r="K34" s="11" t="str"/>
      <x:c r="L34" s="11" t="str"/>
      <x:c r="M34" s="11" t="str"/>
      <x:c r="N34" s="11" t="str"/>
      <x:c r="O34" s="11" t="str"/>
      <x:c r="P34" s="11" t="str"/>
    </x:row>
    <x:row r="35" ht="42" customHeight="1">
      <x:c r="A35" s="11" t="n">
        <x:v>34</x:v>
      </x:c>
      <x:c r="B35" s="11" t="str"/>
      <x:c r="C35" s="11" t="str"/>
      <x:c r="D35" s="11" t="str"/>
      <x:c r="E35" s="11" t="str"/>
      <x:c r="F35" s="11" t="str"/>
      <x:c r="G35" s="11" t="str"/>
      <x:c r="H35" s="11" t="str"/>
      <x:c r="I35" s="11" t="str"/>
      <x:c r="J35" s="11" t="str"/>
      <x:c r="K35" s="11" t="str"/>
      <x:c r="L35" s="11" t="str"/>
      <x:c r="M35" s="11" t="str"/>
      <x:c r="N35" s="11" t="str"/>
      <x:c r="O35" s="11" t="str"/>
      <x:c r="P35" s="11" t="str"/>
    </x:row>
    <x:row r="36" ht="42" customHeight="1">
      <x:c r="A36" s="11" t="n">
        <x:v>35</x:v>
      </x:c>
      <x:c r="B36" s="11" t="str"/>
      <x:c r="C36" s="11" t="str"/>
      <x:c r="D36" s="11" t="str"/>
      <x:c r="E36" s="11" t="str"/>
      <x:c r="F36" s="11" t="str"/>
      <x:c r="G36" s="11" t="str"/>
      <x:c r="H36" s="11" t="str"/>
      <x:c r="I36" s="11" t="str"/>
      <x:c r="J36" s="11" t="str"/>
      <x:c r="K36" s="11" t="str"/>
      <x:c r="L36" s="11" t="str"/>
      <x:c r="M36" s="11" t="str"/>
      <x:c r="N36" s="11" t="str"/>
      <x:c r="O36" s="11" t="str"/>
      <x:c r="P36" s="11" t="str"/>
    </x:row>
    <x:row r="37" ht="42" customHeight="1">
      <x:c r="A37" s="11" t="n">
        <x:v>36</x:v>
      </x:c>
      <x:c r="B37" s="11" t="str"/>
      <x:c r="C37" s="11" t="str"/>
      <x:c r="D37" s="11" t="str"/>
      <x:c r="E37" s="11" t="str"/>
      <x:c r="F37" s="11" t="str"/>
      <x:c r="G37" s="11" t="str"/>
      <x:c r="H37" s="11" t="str"/>
      <x:c r="I37" s="11" t="str"/>
      <x:c r="J37" s="11" t="str"/>
      <x:c r="K37" s="11" t="str"/>
      <x:c r="L37" s="11" t="str"/>
      <x:c r="M37" s="11" t="str"/>
      <x:c r="N37" s="11" t="str"/>
      <x:c r="O37" s="11" t="str"/>
      <x:c r="P37" s="11" t="str"/>
    </x:row>
    <x:row r="38" ht="42" customHeight="1">
      <x:c r="A38" s="11" t="n">
        <x:v>37</x:v>
      </x:c>
      <x:c r="B38" s="11" t="str"/>
      <x:c r="C38" s="11" t="str"/>
      <x:c r="D38" s="11" t="str"/>
      <x:c r="E38" s="11" t="str"/>
      <x:c r="F38" s="11" t="str"/>
      <x:c r="G38" s="11" t="str"/>
      <x:c r="H38" s="11" t="str"/>
      <x:c r="I38" s="11" t="str"/>
      <x:c r="J38" s="11" t="str"/>
      <x:c r="K38" s="11" t="str"/>
      <x:c r="L38" s="11" t="str"/>
      <x:c r="M38" s="11" t="str"/>
      <x:c r="N38" s="11" t="str"/>
      <x:c r="O38" s="11" t="str"/>
      <x:c r="P38" s="11" t="str"/>
    </x:row>
    <x:row r="39" ht="42" customHeight="1">
      <x:c r="A39" s="11" t="n">
        <x:v>38</x:v>
      </x:c>
      <x:c r="B39" s="11" t="str"/>
      <x:c r="C39" s="11" t="str"/>
      <x:c r="D39" s="11" t="str"/>
      <x:c r="E39" s="11" t="str"/>
      <x:c r="F39" s="11" t="str"/>
      <x:c r="G39" s="11" t="str"/>
      <x:c r="H39" s="11" t="str"/>
      <x:c r="I39" s="11" t="str"/>
      <x:c r="J39" s="11" t="str"/>
      <x:c r="K39" s="11" t="str"/>
      <x:c r="L39" s="11" t="str"/>
      <x:c r="M39" s="11" t="str"/>
      <x:c r="N39" s="11" t="str"/>
      <x:c r="O39" s="11" t="str"/>
      <x:c r="P39" s="11" t="str"/>
    </x:row>
    <x:row r="40" ht="42" customHeight="1">
      <x:c r="A40" s="11" t="n">
        <x:v>39</x:v>
      </x:c>
      <x:c r="B40" s="11" t="str"/>
      <x:c r="C40" s="11" t="str"/>
      <x:c r="D40" s="11" t="str"/>
      <x:c r="E40" s="11" t="str"/>
      <x:c r="F40" s="11" t="str"/>
      <x:c r="G40" s="11" t="str"/>
      <x:c r="H40" s="11" t="str"/>
      <x:c r="I40" s="11" t="str"/>
      <x:c r="J40" s="11" t="str"/>
      <x:c r="K40" s="11" t="str"/>
      <x:c r="L40" s="11" t="str"/>
      <x:c r="M40" s="11" t="str"/>
      <x:c r="N40" s="11" t="str"/>
      <x:c r="O40" s="11" t="str"/>
      <x:c r="P40" s="11" t="str"/>
    </x:row>
    <x:row r="41" ht="42" customHeight="1">
      <x:c r="A41" s="11" t="n">
        <x:v>40</x:v>
      </x:c>
      <x:c r="B41" s="11" t="str"/>
      <x:c r="C41" s="11" t="str"/>
      <x:c r="D41" s="11" t="str"/>
      <x:c r="E41" s="11" t="str"/>
      <x:c r="F41" s="11" t="str"/>
      <x:c r="G41" s="11" t="str"/>
      <x:c r="H41" s="11" t="str"/>
      <x:c r="I41" s="11" t="str"/>
      <x:c r="J41" s="11" t="str"/>
      <x:c r="K41" s="11" t="str"/>
      <x:c r="L41" s="11" t="str"/>
      <x:c r="M41" s="11" t="str"/>
      <x:c r="N41" s="11" t="str"/>
      <x:c r="O41" s="11" t="str"/>
      <x:c r="P41" s="11" t="str"/>
    </x:row>
    <x:row r="42" ht="42" customHeight="1">
      <x:c r="A42" s="11" t="n">
        <x:v>41</x:v>
      </x:c>
      <x:c r="B42" s="11" t="str"/>
      <x:c r="C42" s="11" t="str"/>
      <x:c r="D42" s="11" t="str"/>
      <x:c r="E42" s="11" t="str"/>
      <x:c r="F42" s="11" t="str"/>
      <x:c r="G42" s="11" t="str"/>
      <x:c r="H42" s="11" t="str"/>
      <x:c r="I42" s="11" t="str"/>
      <x:c r="J42" s="11" t="str"/>
      <x:c r="K42" s="11" t="str"/>
      <x:c r="L42" s="11" t="str"/>
      <x:c r="M42" s="11" t="str"/>
      <x:c r="N42" s="11" t="str"/>
      <x:c r="O42" s="11" t="str"/>
      <x:c r="P42" s="11" t="str"/>
    </x:row>
    <x:row r="43" ht="42" customHeight="1">
      <x:c r="A43" s="11" t="n">
        <x:v>42</x:v>
      </x:c>
      <x:c r="B43" s="11" t="str"/>
      <x:c r="C43" s="11" t="str"/>
      <x:c r="D43" s="11" t="str"/>
      <x:c r="E43" s="11" t="str"/>
      <x:c r="F43" s="11" t="str"/>
      <x:c r="G43" s="11" t="str"/>
      <x:c r="H43" s="11" t="str"/>
      <x:c r="I43" s="11" t="str"/>
      <x:c r="J43" s="11" t="str"/>
      <x:c r="K43" s="11" t="str"/>
      <x:c r="L43" s="11" t="str"/>
      <x:c r="M43" s="11" t="str"/>
      <x:c r="N43" s="11" t="str"/>
      <x:c r="O43" s="11" t="str"/>
      <x:c r="P43" s="11" t="str"/>
    </x:row>
    <x:row r="44" ht="42" customHeight="1">
      <x:c r="A44" s="11" t="n">
        <x:v>43</x:v>
      </x:c>
      <x:c r="B44" s="11" t="str"/>
      <x:c r="C44" s="11" t="str"/>
      <x:c r="D44" s="11" t="str"/>
      <x:c r="E44" s="11" t="str"/>
      <x:c r="F44" s="11" t="str"/>
      <x:c r="G44" s="11" t="str"/>
      <x:c r="H44" s="11" t="str"/>
      <x:c r="I44" s="11" t="str"/>
      <x:c r="J44" s="11" t="str"/>
      <x:c r="K44" s="11" t="str"/>
      <x:c r="L44" s="11" t="str"/>
      <x:c r="M44" s="11" t="str"/>
      <x:c r="N44" s="11" t="str"/>
      <x:c r="O44" s="11" t="str"/>
      <x:c r="P44" s="11" t="str"/>
    </x:row>
    <x:row r="45" ht="42" customHeight="1">
      <x:c r="A45" s="11" t="n">
        <x:v>44</x:v>
      </x:c>
      <x:c r="B45" s="11" t="str"/>
      <x:c r="C45" s="11" t="str"/>
      <x:c r="D45" s="11" t="str"/>
      <x:c r="E45" s="11" t="str"/>
      <x:c r="F45" s="11" t="str"/>
      <x:c r="G45" s="11" t="str"/>
      <x:c r="H45" s="11" t="str"/>
      <x:c r="I45" s="11" t="str"/>
      <x:c r="J45" s="11" t="str"/>
      <x:c r="K45" s="11" t="str"/>
      <x:c r="L45" s="11" t="str"/>
      <x:c r="M45" s="11" t="str"/>
      <x:c r="N45" s="11" t="str"/>
      <x:c r="O45" s="11" t="str"/>
      <x:c r="P45" s="11" t="str"/>
    </x:row>
    <x:row r="46" ht="42" customHeight="1">
      <x:c r="A46" s="11" t="n">
        <x:v>45</x:v>
      </x:c>
      <x:c r="B46" s="11" t="str"/>
      <x:c r="C46" s="11" t="str"/>
      <x:c r="D46" s="11" t="str"/>
      <x:c r="E46" s="11" t="str"/>
      <x:c r="F46" s="11" t="str"/>
      <x:c r="G46" s="11" t="str"/>
      <x:c r="H46" s="11" t="str"/>
      <x:c r="I46" s="11" t="str"/>
      <x:c r="J46" s="11" t="str"/>
      <x:c r="K46" s="11" t="str"/>
      <x:c r="L46" s="11" t="str"/>
      <x:c r="M46" s="11" t="str"/>
      <x:c r="N46" s="11" t="str"/>
      <x:c r="O46" s="11" t="str"/>
      <x:c r="P46" s="11" t="str"/>
    </x:row>
    <x:row r="47" ht="42" customHeight="1">
      <x:c r="A47" s="11" t="n">
        <x:v>46</x:v>
      </x:c>
      <x:c r="B47" s="11" t="str"/>
      <x:c r="C47" s="11" t="str"/>
      <x:c r="D47" s="11" t="str"/>
      <x:c r="E47" s="11" t="str"/>
      <x:c r="F47" s="11" t="str"/>
      <x:c r="G47" s="11" t="str"/>
      <x:c r="H47" s="11" t="str"/>
      <x:c r="I47" s="11" t="str"/>
      <x:c r="J47" s="11" t="str"/>
      <x:c r="K47" s="11" t="str"/>
      <x:c r="L47" s="11" t="str"/>
      <x:c r="M47" s="11" t="str"/>
      <x:c r="N47" s="11" t="str"/>
      <x:c r="O47" s="11" t="str"/>
      <x:c r="P47" s="11" t="str"/>
    </x:row>
    <x:row r="48" ht="42" customHeight="1">
      <x:c r="A48" s="11" t="n">
        <x:v>47</x:v>
      </x:c>
      <x:c r="B48" s="11" t="str"/>
      <x:c r="C48" s="11" t="str"/>
      <x:c r="D48" s="11" t="str"/>
      <x:c r="E48" s="11" t="str"/>
      <x:c r="F48" s="11" t="str"/>
      <x:c r="G48" s="11" t="str"/>
      <x:c r="H48" s="11" t="str"/>
      <x:c r="I48" s="11" t="str"/>
      <x:c r="J48" s="11" t="str"/>
      <x:c r="K48" s="11" t="str"/>
      <x:c r="L48" s="11" t="str"/>
      <x:c r="M48" s="11" t="str"/>
      <x:c r="N48" s="11" t="str"/>
      <x:c r="O48" s="11" t="str"/>
      <x:c r="P48" s="11" t="str"/>
    </x:row>
    <x:row r="49" ht="42" customHeight="1">
      <x:c r="A49" s="11" t="n">
        <x:v>48</x:v>
      </x:c>
      <x:c r="B49" s="11" t="str"/>
      <x:c r="C49" s="11" t="str"/>
      <x:c r="D49" s="11" t="str"/>
      <x:c r="E49" s="11" t="str"/>
      <x:c r="F49" s="11" t="str"/>
      <x:c r="G49" s="11" t="str"/>
      <x:c r="H49" s="11" t="str"/>
      <x:c r="I49" s="11" t="str"/>
      <x:c r="J49" s="11" t="str"/>
      <x:c r="K49" s="11" t="str"/>
      <x:c r="L49" s="11" t="str"/>
      <x:c r="M49" s="11" t="str"/>
      <x:c r="N49" s="11" t="str"/>
      <x:c r="O49" s="11" t="str"/>
      <x:c r="P49" s="11" t="str"/>
    </x:row>
    <x:row r="50" ht="42" customHeight="1">
      <x:c r="A50" s="11" t="n">
        <x:v>49</x:v>
      </x:c>
      <x:c r="B50" s="11" t="str"/>
      <x:c r="C50" s="11" t="str"/>
      <x:c r="D50" s="11" t="str"/>
      <x:c r="E50" s="11" t="str"/>
      <x:c r="F50" s="11" t="str"/>
      <x:c r="G50" s="11" t="str"/>
      <x:c r="H50" s="11" t="str"/>
      <x:c r="I50" s="11" t="str"/>
      <x:c r="J50" s="11" t="str"/>
      <x:c r="K50" s="11" t="str"/>
      <x:c r="L50" s="11" t="str"/>
      <x:c r="M50" s="11" t="str"/>
      <x:c r="N50" s="11" t="str"/>
      <x:c r="O50" s="11" t="str"/>
      <x:c r="P50" s="11" t="str"/>
    </x:row>
    <x:row r="51" ht="42" customHeight="1">
      <x:c r="A51" s="11" t="n">
        <x:v>50</x:v>
      </x:c>
      <x:c r="B51" s="11" t="str"/>
      <x:c r="C51" s="11" t="str"/>
      <x:c r="D51" s="11" t="str"/>
      <x:c r="E51" s="11" t="str"/>
      <x:c r="F51" s="11" t="str"/>
      <x:c r="G51" s="11" t="str"/>
      <x:c r="H51" s="11" t="str"/>
      <x:c r="I51" s="11" t="str"/>
      <x:c r="J51" s="11" t="str"/>
      <x:c r="K51" s="11" t="str"/>
      <x:c r="L51" s="11" t="str"/>
      <x:c r="M51" s="11" t="str"/>
      <x:c r="N51" s="11" t="str"/>
      <x:c r="O51" s="11" t="str"/>
      <x:c r="P51" s="11" t="str"/>
    </x:row>
  </x:sheetData>
  <x:dataValidations count="3">
    <x:dataValidation type="list" allowBlank="1" showDropDown="0" sqref="D2:D51">
      <x:formula1>"単体テスト,結合テスト,総合テスト,セキュリティ・運用テスト"</x:formula1>
    </x:dataValidation>
    <x:dataValidation type="list" allowBlank="1" showDropDown="0" sqref="F2:F51">
      <x:formula1>"致命,高,中,低"</x:formula1>
    </x:dataValidation>
    <x:dataValidation type="list" allowBlank="1" showDropDown="0" sqref="M2:M51">
      <x:formula1>"未対応,対応中,修正済,再確認中,完了,見送り"</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 min="3" max="3" width="65" hidden="0" customWidth="1"/>
  </x:cols>
  <x:sheetData>
    <x:row r="1" ht="34" customHeight="1">
      <x:c r="A1" s="36" t="str">
        <x:v>ソース参照</x:v>
      </x:c>
    </x:row>
    <x:row r="2" ht="22" customHeight="1">
      <x:c r="A2" s="40" t="str">
        <x:v>仕様・テストケース起票時に参照した主なリポジトリ内ファイルです。</x:v>
      </x:c>
    </x:row>
    <x:row r="4" ht="30" customHeight="1">
      <x:c r="A4" s="28" t="str">
        <x:v>区分</x:v>
      </x:c>
      <x:c r="B4" s="28" t="str">
        <x:v>ファイル/URL</x:v>
      </x:c>
      <x:c r="C4" s="28" t="str">
        <x:v>確認観点</x:v>
      </x:c>
    </x:row>
    <x:row r="5" ht="28" customHeight="1">
      <x:c r="A5" s="11" t="str">
        <x:v>Repository</x:v>
      </x:c>
      <x:c r="B5" s="11" t="str">
        <x:v>https://github.com/lilivera/NFCReaderX</x:v>
      </x:c>
      <x:c r="C5" s="11" t="str">
        <x:v>対象リポジトリ</x:v>
      </x:c>
    </x:row>
    <x:row r="6" ht="28" customHeight="1">
      <x:c r="A6" s="11" t="str">
        <x:v>README</x:v>
      </x:c>
      <x:c r="B6" s="11" t="str">
        <x:v>https://github.com/lilivera/NFCReaderX/blob/main/README.md</x:v>
      </x:c>
      <x:c r="C6" s="11" t="str">
        <x:v>システム概要、フロー、対応カード、API、セキュリティ方針</x:v>
      </x:c>
    </x:row>
    <x:row r="7" ht="28" customHeight="1">
      <x:c r="A7" s="11" t="str">
        <x:v>Android</x:v>
      </x:c>
      <x:c r="B7" s="11" t="str">
        <x:v>https://github.com/lilivera/NFCReaderX/blob/main/app/src/main/AndroidManifest.xml</x:v>
      </x:c>
      <x:c r="C7" s="11" t="str">
        <x:v>権限、NFC必須、Activity設定</x:v>
      </x:c>
    </x:row>
    <x:row r="8" ht="28" customHeight="1">
      <x:c r="A8" s="11" t="str">
        <x:v>Android</x:v>
      </x:c>
      <x:c r="B8" s="11" t="str">
        <x:v>https://github.com/lilivera/NFCReaderX/blob/main/app/src/main/res/xml/network_security_config.xml</x:v>
      </x:c>
      <x:c r="C8" s="11" t="str">
        <x:v>HTTP/cleartext通信設定</x:v>
      </x:c>
    </x:row>
    <x:row r="9" ht="28" customHeight="1">
      <x:c r="A9" s="11" t="str">
        <x:v>Android</x:v>
      </x:c>
      <x:c r="B9" s="11" t="str">
        <x:v>https://github.com/lilivera/NFCReaderX/blob/main/app/src/main/assets/nfc_config.json</x:v>
      </x:c>
      <x:c r="C9" s="11" t="str">
        <x:v>Android側収集設定</x:v>
      </x:c>
    </x:row>
    <x:row r="10" ht="28" customHeight="1">
      <x:c r="A10" s="11" t="str">
        <x:v>Android</x:v>
      </x:c>
      <x:c r="B10" s="11" t="str">
        <x:v>https://github.com/lilivera/NFCReaderX/blob/main/app/src/main/java/com/nfcreaderx/NfcBridgeActivity.kt</x:v>
      </x:c>
      <x:c r="C10" s="11" t="str">
        <x:v>WebView、NFC、JS bridge、PIN入力、読取制御</x:v>
      </x:c>
    </x:row>
    <x:row r="11" ht="28" customHeight="1">
      <x:c r="A11" s="11" t="str">
        <x:v>Android</x:v>
      </x:c>
      <x:c r="B11" s="11" t="str">
        <x:v>https://github.com/lilivera/NFCReaderX/blob/main/app/src/main/java/com/nfcreaderx/NfcConfig.kt</x:v>
      </x:c>
      <x:c r="C11" s="11" t="str">
        <x:v>設定ロード、デフォルト値</x:v>
      </x:c>
    </x:row>
    <x:row r="12" ht="28" customHeight="1">
      <x:c r="A12" s="11" t="str">
        <x:v>Android</x:v>
      </x:c>
      <x:c r="B12" s="11" t="str">
        <x:v>https://github.com/lilivera/NFCReaderX/blob/main/app/src/main/java/com/nfcreaderx/nfc/MyNumberCardReader.kt</x:v>
      </x:c>
      <x:c r="C12" s="11" t="str">
        <x:v>マイナンバーカード読取、PIN、EF読取</x:v>
      </x:c>
    </x:row>
    <x:row r="13" ht="28" customHeight="1">
      <x:c r="A13" s="11" t="str">
        <x:v>Android</x:v>
      </x:c>
      <x:c r="B13" s="11" t="str">
        <x:v>https://github.com/lilivera/NFCReaderX/blob/main/app/src/main/java/com/nfcreaderx/nfc/DriverLicenseReader.kt</x:v>
      </x:c>
      <x:c r="C13" s="11" t="str">
        <x:v>運転免許証読取、暗証番号、EF読取</x:v>
      </x:c>
    </x:row>
    <x:row r="14" ht="28" customHeight="1">
      <x:c r="A14" s="11" t="str">
        <x:v>Laravel</x:v>
      </x:c>
      <x:c r="B14" s="11" t="str">
        <x:v>https://github.com/lilivera/NFCReaderX/blob/main/laravel/routes/web.php</x:v>
      </x:c>
      <x:c r="C14" s="11" t="str">
        <x:v>ルーティング、認証範囲</x:v>
      </x:c>
    </x:row>
    <x:row r="15" ht="28" customHeight="1">
      <x:c r="A15" s="11" t="str">
        <x:v>Laravel</x:v>
      </x:c>
      <x:c r="B15" s="11" t="str">
        <x:v>https://github.com/lilivera/NFCReaderX/blob/main/laravel/app/Http/Controllers/Auth/LoginController.php</x:v>
      </x:c>
      <x:c r="C15" s="11" t="str">
        <x:v>ログイン、ログアウト、無効ユーザー判定</x:v>
      </x:c>
    </x:row>
    <x:row r="16" ht="28" customHeight="1">
      <x:c r="A16" s="11" t="str">
        <x:v>Laravel</x:v>
      </x:c>
      <x:c r="B16" s="11" t="str">
        <x:v>https://github.com/lilivera/NFCReaderX/blob/main/laravel/app/Http/Controllers/CardController.php</x:v>
      </x:c>
      <x:c r="C16" s="11" t="str">
        <x:v>登録、一覧、検索、ログインユーザー紐付け</x:v>
      </x:c>
    </x:row>
    <x:row r="17" ht="28" customHeight="1">
      <x:c r="A17" s="11" t="str">
        <x:v>Laravel</x:v>
      </x:c>
      <x:c r="B17" s="11" t="str">
        <x:v>https://github.com/lilivera/NFCReaderX/blob/main/laravel/app/Http/Controllers/ConfigController.php</x:v>
      </x:c>
      <x:c r="C17" s="11" t="str">
        <x:v>フィールド設定取得/更新</x:v>
      </x:c>
    </x:row>
    <x:row r="18" ht="28" customHeight="1">
      <x:c r="A18" s="11" t="str">
        <x:v>Laravel</x:v>
      </x:c>
      <x:c r="B18" s="11" t="str">
        <x:v>https://github.com/lilivera/NFCReaderX/blob/main/laravel/app/Models/User.php</x:v>
      </x:c>
      <x:c r="C18" s="11" t="str">
        <x:v>ユーザー属性、パスワード隠蔽、is_active</x:v>
      </x:c>
    </x:row>
    <x:row r="19" ht="28" customHeight="1">
      <x:c r="A19" s="11" t="str">
        <x:v>Laravel</x:v>
      </x:c>
      <x:c r="B19" s="11" t="str">
        <x:v>https://github.com/lilivera/NFCReaderX/blob/main/laravel/app/Models/CardRecord.php</x:v>
      </x:c>
      <x:c r="C19" s="11" t="str">
        <x:v>カード記録モデル、保存対象項目</x:v>
      </x:c>
    </x:row>
    <x:row r="20" ht="28" customHeight="1">
      <x:c r="A20" s="11" t="str">
        <x:v>Laravel</x:v>
      </x:c>
      <x:c r="B20" s="11" t="str">
        <x:v>https://github.com/lilivera/NFCReaderX/blob/main/laravel/resources/views/scan.blade.php</x:v>
      </x:c>
      <x:c r="C20" s="11" t="str">
        <x:v>スキャン画面、確認画面、送信処理</x:v>
      </x:c>
    </x:row>
    <x:row r="21" ht="28" customHeight="1">
      <x:c r="A21" s="11" t="str">
        <x:v>Laravel</x:v>
      </x:c>
      <x:c r="B21" s="11" t="str">
        <x:v>https://github.com/lilivera/NFCReaderX/blob/main/laravel/resources/views/records.blade.php</x:v>
      </x:c>
      <x:c r="C21" s="11" t="str">
        <x:v>記録一覧、詳細表示、検索</x:v>
      </x:c>
    </x:row>
    <x:row r="22" ht="28" customHeight="1">
      <x:c r="A22" s="11" t="str">
        <x:v>Laravel</x:v>
      </x:c>
      <x:c r="B22" s="11" t="str">
        <x:v>https://github.com/lilivera/NFCReaderX/blob/main/laravel/database/seeders/UserSeeder.php</x:v>
      </x:c>
      <x:c r="C22" s="11" t="str">
        <x:v>初期ユーザー、初期パスワード確認</x:v>
      </x:c>
    </x:row>
    <x:row r="23" ht="28" customHeight="1">
      <x:c r="A23" s="11" t="str">
        <x:v>Build</x:v>
      </x:c>
      <x:c r="B23" s="11" t="str">
        <x:v>https://github.com/lilivera/NFCReaderX/blob/main/app/build.gradle</x:v>
      </x:c>
      <x:c r="C23" s="11" t="str">
        <x:v>Android依存関係、SDK、ビルド設定</x:v>
      </x:c>
    </x:row>
    <x:row r="24" ht="28" customHeight="1">
      <x:c r="A24" s="11" t="str">
        <x:v>Build</x:v>
      </x:c>
      <x:c r="B24" s="11" t="str">
        <x:v>https://github.com/lilivera/NFCReaderX/blob/main/laravel/composer.json</x:v>
      </x:c>
      <x:c r="C24" s="11" t="str">
        <x:v>Laravel/PHP/Oracle依存関係</x:v>
      </x:c>
    </x:row>
  </x:sheetData>
  <x:mergeCells>
    <x:mergeCell ref="A1:P1"/>
    <x:mergeCell ref="A2:P2"/>
  </x:mergeCells>
  <x:pageMargins left="0.7" right="0.7" top="0.75" bottom="0.75" header="0.3" footer="0.3"/>
</x:worksheet>
</file>