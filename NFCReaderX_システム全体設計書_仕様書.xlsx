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showInkAnnotation="0"/>
  <xr:revisionPtr revIDLastSave="0" documentId="11_993CF3F37A5BB888F7382D027B39203606E7A47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00_表紙" sheetId="1" r:id="rId1"/>
    <sheet name="01_概要" sheetId="2" r:id="rId2"/>
    <sheet name="02_全体構成" sheetId="3" r:id="rId3"/>
    <sheet name="03_機能仕様" sheetId="4" r:id="rId4"/>
    <sheet name="04_画面仕様" sheetId="5" r:id="rId5"/>
    <sheet name="05_API仕様" sheetId="6" r:id="rId6"/>
    <sheet name="06_DB仕様" sheetId="7" r:id="rId7"/>
    <sheet name="07_Android_NFC" sheetId="8" r:id="rId8"/>
    <sheet name="08_セキュリティ" sheetId="9" r:id="rId9"/>
    <sheet name="09_運用仕様" sheetId="10" r:id="rId10"/>
    <sheet name="10_試験観点" sheetId="11" r:id="rId11"/>
    <sheet name="11_課題確認" sheetId="12" r:id="rId12"/>
    <sheet name="12_ソース参照" sheetId="13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  <c r="B10" i="1"/>
  <c r="B9" i="1"/>
</calcChain>
</file>

<file path=xl/sharedStrings.xml><?xml version="1.0" encoding="utf-8"?>
<sst xmlns="http://schemas.openxmlformats.org/spreadsheetml/2006/main" count="1350" uniqueCount="913">
  <si>
    <t>NFCReaderX システム設計書・仕様書</t>
  </si>
  <si>
    <t>Androidタブレット（WebView）でマイナンバーカード・運転免許証を NFC 読み取りし、イントラネットサーバーへ送信・閲覧するシステムの全体設計・機能仕様。現行リポジトリ main ブランチのREADMEおよび主要コードをもとに作成。</t>
  </si>
  <si>
    <t>文書区分</t>
  </si>
  <si>
    <t>システム全体設計書・仕様書</t>
  </si>
  <si>
    <t>対象リポジトリ</t>
  </si>
  <si>
    <t>https://github.com/lilivera/NFCReaderX</t>
  </si>
  <si>
    <t>対象ブランチ</t>
  </si>
  <si>
    <t>main</t>
  </si>
  <si>
    <t>版数</t>
  </si>
  <si>
    <t>0.1</t>
  </si>
  <si>
    <t>作成日</t>
  </si>
  <si>
    <t>2026-04-24</t>
  </si>
  <si>
    <t>作成者</t>
  </si>
  <si>
    <t>ChatGPT</t>
  </si>
  <si>
    <t>対象範囲</t>
  </si>
  <si>
    <t>Android APK / Laravel サーバー / Oracle DB / WebView UI / NFC読取 / 運用・セキュリティ</t>
  </si>
  <si>
    <t>作成根拠</t>
  </si>
  <si>
    <t>現行実装ベース</t>
  </si>
  <si>
    <t>状態</t>
  </si>
  <si>
    <t>レビュー用ドラフト</t>
  </si>
  <si>
    <t>ドキュメントサマリー</t>
  </si>
  <si>
    <t>画面仕様数</t>
  </si>
  <si>
    <t>件</t>
  </si>
  <si>
    <t>画面仕様シートに定義した画面・状態の数</t>
  </si>
  <si>
    <t>機能仕様数</t>
  </si>
  <si>
    <t>機能仕様シートに定義した機能数</t>
  </si>
  <si>
    <t>API仕様数</t>
  </si>
  <si>
    <t>API仕様シートに定義したエンドポイント数</t>
  </si>
  <si>
    <t>DB項目数</t>
  </si>
  <si>
    <t>DB仕様シートに定義した項目数</t>
  </si>
  <si>
    <t>課題・確認事項数</t>
  </si>
  <si>
    <t>課題確認シートに定義した確認事項数</t>
  </si>
  <si>
    <t>構成シート</t>
  </si>
  <si>
    <t>シート</t>
  </si>
  <si>
    <t>内容</t>
  </si>
  <si>
    <t>00_表紙</t>
  </si>
  <si>
    <t>文書メタ情報、サマリー</t>
  </si>
  <si>
    <t>01_概要</t>
  </si>
  <si>
    <t>目的、対象範囲、利用者、前提条件</t>
  </si>
  <si>
    <t>02_全体構成</t>
  </si>
  <si>
    <t>アーキテクチャ、処理フロー、インターフェース</t>
  </si>
  <si>
    <t>03_機能仕様</t>
  </si>
  <si>
    <t>機能単位の仕様、入出力、受入条件</t>
  </si>
  <si>
    <t>04_画面仕様</t>
  </si>
  <si>
    <t>画面・状態・操作仕様</t>
  </si>
  <si>
    <t>05_API仕様</t>
  </si>
  <si>
    <t>Laravelルーティング/API仕様</t>
  </si>
  <si>
    <t>06_DB仕様</t>
  </si>
  <si>
    <t>主要テーブル・項目仕様</t>
  </si>
  <si>
    <t>07_Android_NFC</t>
  </si>
  <si>
    <t>Android/WebView/NFC読取仕様</t>
  </si>
  <si>
    <t>08_セキュリティ</t>
  </si>
  <si>
    <t>セキュリティ設計と現行リスク</t>
  </si>
  <si>
    <t>09_運用仕様</t>
  </si>
  <si>
    <t>セットアップ、リリース、管理運用</t>
  </si>
  <si>
    <t>10_試験観点</t>
  </si>
  <si>
    <t>機能・連携・セキュリティ試験観点</t>
  </si>
  <si>
    <t>11_課題確認</t>
  </si>
  <si>
    <t>未確定事項、改善課題</t>
  </si>
  <si>
    <t>12_ソース参照</t>
  </si>
  <si>
    <t>参照したファイル一覧</t>
  </si>
  <si>
    <t>改版履歴</t>
  </si>
  <si>
    <t>日付</t>
  </si>
  <si>
    <t>区分</t>
  </si>
  <si>
    <t>変更内容</t>
  </si>
  <si>
    <t>作成/更新者</t>
  </si>
  <si>
    <t>承認者</t>
  </si>
  <si>
    <t>備考</t>
  </si>
  <si>
    <t>新規作成</t>
  </si>
  <si>
    <t>現行リポジトリ main ブランチをもとに、システム全体設計・仕様をExcel化。</t>
  </si>
  <si>
    <t>01. システム概要</t>
  </si>
  <si>
    <t>NFCReaderXの目的、方式、対象範囲、前提条件を整理する。</t>
  </si>
  <si>
    <t>補足</t>
  </si>
  <si>
    <t>根拠</t>
  </si>
  <si>
    <t>ソースURL</t>
  </si>
  <si>
    <t>目的</t>
  </si>
  <si>
    <t>カード券面情報をAndroidタブレットのNFC機能で読み取り、職員認証済みのイントラWebシステムへ送信・保存・閲覧する。</t>
  </si>
  <si>
    <t>業務効率化、入力誤り削減、端末側保存抑止</t>
  </si>
  <si>
    <t>README</t>
  </si>
  <si>
    <t>https://github.com/lilivera/NFCReaderX/blob/main/README.md</t>
  </si>
  <si>
    <t>システム方式</t>
  </si>
  <si>
    <t>Android APKはWebViewとNFC/JSブリッジを持つ極小構成。業務画面・認証・保存はLaravelサーバー側で実装する。</t>
  </si>
  <si>
    <t>Android側のローカルDBやHTTPクライアントライブラリを最小化</t>
  </si>
  <si>
    <t>README / Activity</t>
  </si>
  <si>
    <t>対応カード</t>
  </si>
  <si>
    <t>マイナンバーカード、運転免許証。各カードのAIDとPINを用いてAPDUで読み取る。</t>
  </si>
  <si>
    <t>カード種別検出後、PIN入力ダイアログを表示</t>
  </si>
  <si>
    <t>README / NFC reader</t>
  </si>
  <si>
    <t>利用者</t>
  </si>
  <si>
    <t>職員、管理者、システム管理者。カード保有者はカード提示者であり、システムログイン利用者ではない。</t>
  </si>
  <si>
    <t>職員は自分が登録した記録のみ閲覧可能</t>
  </si>
  <si>
    <t>README / Controller</t>
  </si>
  <si>
    <t>https://github.com/lilivera/NFCReaderX/blob/main/laravel/app/Http/Controllers/CardController.php</t>
  </si>
  <si>
    <t>対象環境</t>
  </si>
  <si>
    <t>Android NFC対応タブレット、イントラネット上のLaravelサーバー、Oracle DB。検証起動はphp artisan serve。</t>
  </si>
  <si>
    <t>本番はApache/Nginx + PHP-FPM推奨</t>
  </si>
  <si>
    <t>README / composer</t>
  </si>
  <si>
    <t>認証</t>
  </si>
  <si>
    <t>社員番号 + パスワードによるLaravelセッション認証。ログイン成功後にセッションを再生成する。</t>
  </si>
  <si>
    <t>無効ユーザーはログアウトして拒否</t>
  </si>
  <si>
    <t>LoginController</t>
  </si>
  <si>
    <t>https://github.com/lilivera/NFCReaderX/blob/main/laravel/app/Http/Controllers/Auth/LoginController.php</t>
  </si>
  <si>
    <t>保存方針</t>
  </si>
  <si>
    <t>マイナンバー・免許証番号は原則読み取らない/保存しない。DBモデル上も保存対象に含めない設計。</t>
  </si>
  <si>
    <t>住所、性別、フリガナ、有効期限等は設定で制御</t>
  </si>
  <si>
    <t>README / CardData / CardRecord</t>
  </si>
  <si>
    <t>https://github.com/lilivera/NFCReaderX/blob/main/app/src/main/java/com/nfcreaderx/data/model/CardData.kt</t>
  </si>
  <si>
    <t>通信</t>
  </si>
  <si>
    <t>現行はイントラ専用HTTPを許可。HTTPS移行時はnetwork_security_configを変更する前提。</t>
  </si>
  <si>
    <t>本番運用時は要セキュリティ判断</t>
  </si>
  <si>
    <t>README / network_security_config</t>
  </si>
  <si>
    <t>https://github.com/lilivera/NFCReaderX/blob/main/app/src/main/res/xml/network_security_config.xml</t>
  </si>
  <si>
    <t>非対象</t>
  </si>
  <si>
    <t>外部公開、スマホ一般ブラウザ利用、カード画像保存、マイナンバー永続保存、外部本人確認サービス連携は本設計の対象外。</t>
  </si>
  <si>
    <t>必要時は別仕様化</t>
  </si>
  <si>
    <t>設計整理</t>
  </si>
  <si>
    <t>02. 全体構成</t>
  </si>
  <si>
    <t>システム構成要素、データフロー、外部/内部インターフェースを定義する。</t>
  </si>
  <si>
    <t>ID</t>
  </si>
  <si>
    <t>構成要素</t>
  </si>
  <si>
    <t>実装名</t>
  </si>
  <si>
    <t>責務</t>
  </si>
  <si>
    <t>技術/方式</t>
  </si>
  <si>
    <t>配置</t>
  </si>
  <si>
    <t>C-001</t>
  </si>
  <si>
    <t>Android APK</t>
  </si>
  <si>
    <t>NFCReaderX APK</t>
  </si>
  <si>
    <t>NFCタグ検出、カード種別判定、PIN入力、APDU読取、WebView表示、JSブリッジ提供</t>
  </si>
  <si>
    <t>Kotlin / Android SDK</t>
  </si>
  <si>
    <t>app/</t>
  </si>
  <si>
    <t>https://github.com/lilivera/NFCReaderX/blob/main/app/src/main/java/com/nfcreaderx/NfcBridgeActivity.kt</t>
  </si>
  <si>
    <t>C-002</t>
  </si>
  <si>
    <t>WebView UI</t>
  </si>
  <si>
    <t>Laravel Blade + JS</t>
  </si>
  <si>
    <t>ログイン、スキャン待機、読取中、確認、記録一覧、詳細表示</t>
  </si>
  <si>
    <t>HTML / JavaScript / CSS</t>
  </si>
  <si>
    <t>laravel/resources/views, public/js</t>
  </si>
  <si>
    <t>https://github.com/lilivera/NFCReaderX/blob/main/laravel/resources/views/scan.blade.php</t>
  </si>
  <si>
    <t>C-003</t>
  </si>
  <si>
    <t>認証機能</t>
  </si>
  <si>
    <t>社員番号・パスワード認証、無効ユーザー拒否、ログアウト、セッション再生成</t>
  </si>
  <si>
    <t>Laravel Auth</t>
  </si>
  <si>
    <t>laravel/app/Http/Controllers/Auth</t>
  </si>
  <si>
    <t>C-004</t>
  </si>
  <si>
    <t>カード送信・一覧</t>
  </si>
  <si>
    <t>CardController</t>
  </si>
  <si>
    <t>カードデータ保存、自分の記録一覧、氏名/フリガナ/住所検索、ログインユーザー情報返却</t>
  </si>
  <si>
    <t>Laravel Controller/Eloquent</t>
  </si>
  <si>
    <t>C-005</t>
  </si>
  <si>
    <t>設定管理</t>
  </si>
  <si>
    <t>ConfigController / Setting</t>
  </si>
  <si>
    <t>収集フィールド設定の参照・更新</t>
  </si>
  <si>
    <t>ConfigController, Setting</t>
  </si>
  <si>
    <t>https://github.com/lilivera/NFCReaderX/blob/main/laravel/app/Http/Controllers/ConfigController.php</t>
  </si>
  <si>
    <t>C-006</t>
  </si>
  <si>
    <t>DB</t>
  </si>
  <si>
    <t>Oracle</t>
  </si>
  <si>
    <t>users, card_records, settings, sessions を保持</t>
  </si>
  <si>
    <t>Oracle + yajra/laravel-oci8</t>
  </si>
  <si>
    <t>laravel/composer.json</t>
  </si>
  <si>
    <t>https://github.com/lilivera/NFCReaderX/blob/main/laravel/composer.json</t>
  </si>
  <si>
    <t>C-007</t>
  </si>
  <si>
    <t>設定ファイル</t>
  </si>
  <si>
    <t>nfc_config.json</t>
  </si>
  <si>
    <t>Android側のサーバーURLと読取フィールド制御</t>
  </si>
  <si>
    <t>JSON asset</t>
  </si>
  <si>
    <t>app/src/main/assets</t>
  </si>
  <si>
    <t>https://github.com/lilivera/NFCReaderX/blob/main/app/src/main/assets/nfc_config.json</t>
  </si>
  <si>
    <t>処理フロー: ①タブレット起動→②未ログイン時ログイン→③カードタッチ→④種別検出/PIN入力→⑤EF読取→⑥確認画面→⑦POST送信→⑧user_id付与でDB保存。</t>
  </si>
  <si>
    <t>No</t>
  </si>
  <si>
    <t>処理</t>
  </si>
  <si>
    <t>主体</t>
  </si>
  <si>
    <t>入力</t>
  </si>
  <si>
    <t>出力/結果</t>
  </si>
  <si>
    <t>1</t>
  </si>
  <si>
    <t>アプリ起動</t>
  </si>
  <si>
    <t>アプリ起動操作</t>
  </si>
  <si>
    <t>WebViewがserver_urlを表示</t>
  </si>
  <si>
    <t>未ログイン時はLaravel側で/loginへ誘導</t>
  </si>
  <si>
    <t>2</t>
  </si>
  <si>
    <t>ログイン</t>
  </si>
  <si>
    <t>Laravel</t>
  </si>
  <si>
    <t>社員番号、パスワード</t>
  </si>
  <si>
    <t>セッションCookie発行</t>
  </si>
  <si>
    <t>Auth::attempt後、session regenerate</t>
  </si>
  <si>
    <t>3</t>
  </si>
  <si>
    <t>カード検出</t>
  </si>
  <si>
    <t>Android NFC</t>
  </si>
  <si>
    <t>ISO-DEP対応タグ</t>
  </si>
  <si>
    <t>カード種別を判定</t>
  </si>
  <si>
    <t>マイナンバーカード/運転免許証/不明</t>
  </si>
  <si>
    <t>4</t>
  </si>
  <si>
    <t>PIN入力</t>
  </si>
  <si>
    <t>Android native dialog</t>
  </si>
  <si>
    <t>4桁PIN</t>
  </si>
  <si>
    <t>読取開始</t>
  </si>
  <si>
    <t>Web画面にはPIN入力UIを持たない</t>
  </si>
  <si>
    <t>5</t>
  </si>
  <si>
    <t>EF読取</t>
  </si>
  <si>
    <t>Android NFC reader</t>
  </si>
  <si>
    <t>APDU応答</t>
  </si>
  <si>
    <t>CardData JSON</t>
  </si>
  <si>
    <t>設定falseの項目は読取をスキップまたはnull</t>
  </si>
  <si>
    <t>6</t>
  </si>
  <si>
    <t>確認表示</t>
  </si>
  <si>
    <t>確認テーブル</t>
  </si>
  <si>
    <t>送信前に職員が確認</t>
  </si>
  <si>
    <t>7</t>
  </si>
  <si>
    <t>送信</t>
  </si>
  <si>
    <t>WebView UI→Laravel</t>
  </si>
  <si>
    <t>POST /api/submit</t>
  </si>
  <si>
    <t>card_records保存</t>
  </si>
  <si>
    <t>CSRFトークン付与</t>
  </si>
  <si>
    <t>8</t>
  </si>
  <si>
    <t>一覧/検索</t>
  </si>
  <si>
    <t>Laravel→WebView UI</t>
  </si>
  <si>
    <t>GET /api/records?q=</t>
  </si>
  <si>
    <t>自分の記録のみ表示</t>
  </si>
  <si>
    <t>最大200件取得</t>
  </si>
  <si>
    <t>03. 機能仕様</t>
  </si>
  <si>
    <t>機能ID単位で、利用者・入出力・受入条件・優先度を定義する。</t>
  </si>
  <si>
    <t>機能ID</t>
  </si>
  <si>
    <t>分類</t>
  </si>
  <si>
    <t>機能名</t>
  </si>
  <si>
    <t>仕様</t>
  </si>
  <si>
    <t>受入条件</t>
  </si>
  <si>
    <t>優先度</t>
  </si>
  <si>
    <t>F-001</t>
  </si>
  <si>
    <t>職員</t>
  </si>
  <si>
    <t>認証成功時はトップへ遷移。不正時はエラー表示。無効ユーザーは拒否。</t>
  </si>
  <si>
    <t>認証成功時にセッション再生成されること</t>
  </si>
  <si>
    <t>High</t>
  </si>
  <si>
    <t>F-002</t>
  </si>
  <si>
    <t>ログアウト</t>
  </si>
  <si>
    <t>ログアウト操作</t>
  </si>
  <si>
    <t>セッション破棄、CSRFトークン再生成、/loginへ遷移</t>
  </si>
  <si>
    <t>ログアウト後に保護画面へ戻れないこと</t>
  </si>
  <si>
    <t>F-003</t>
  </si>
  <si>
    <t>セッション維持</t>
  </si>
  <si>
    <t>WebView/Laravel</t>
  </si>
  <si>
    <t>Cookie</t>
  </si>
  <si>
    <t>CookieManagerでCookieを受け入れ、Laravelセッションを維持</t>
  </si>
  <si>
    <t>再起動後の扱いは運用で確認</t>
  </si>
  <si>
    <t>Medium</t>
  </si>
  <si>
    <t>F-004</t>
  </si>
  <si>
    <t>スキャン</t>
  </si>
  <si>
    <t>スキャン待機画面</t>
  </si>
  <si>
    <t>画面表示</t>
  </si>
  <si>
    <t>カードタッチ案内、NFC非対応/PC時の警告表示</t>
  </si>
  <si>
    <t>Bridge.startScanが呼ばれること</t>
  </si>
  <si>
    <t>F-005</t>
  </si>
  <si>
    <t>NFC</t>
  </si>
  <si>
    <t>NFCタグ検出</t>
  </si>
  <si>
    <t>Android</t>
  </si>
  <si>
    <t>TECH_DISCOVERED/TAG_DISCOVERED</t>
  </si>
  <si>
    <t>IsoDep取得、非対応カードはエラー</t>
  </si>
  <si>
    <t>IsoDep未対応時に読み取りしないこと</t>
  </si>
  <si>
    <t>F-006</t>
  </si>
  <si>
    <t>カード種別検出</t>
  </si>
  <si>
    <t>IsoDep</t>
  </si>
  <si>
    <t>マイナンバーカード/運転免許証/不明を判定</t>
  </si>
  <si>
    <t>不明時はエラー通知</t>
  </si>
  <si>
    <t>F-007</t>
  </si>
  <si>
    <t>職員/Android</t>
  </si>
  <si>
    <t>4桁数字</t>
  </si>
  <si>
    <t>AndroidネイティブダイアログでPIN入力</t>
  </si>
  <si>
    <t>キャンセル時に保留カード情報を破棄</t>
  </si>
  <si>
    <t>F-008</t>
  </si>
  <si>
    <t>マイナンバーカード読取</t>
  </si>
  <si>
    <t>PIN、カード</t>
  </si>
  <si>
    <t>氏名、生年月日、必要に応じてフリガナ/性別/住所/期限を読取</t>
  </si>
  <si>
    <t>collect_my_number=falseなら個人番号を読まない</t>
  </si>
  <si>
    <t>https://github.com/lilivera/NFCReaderX/blob/main/app/src/main/java/com/nfcreaderx/nfc/MyNumberCardReader.kt</t>
  </si>
  <si>
    <t>F-009</t>
  </si>
  <si>
    <t>運転免許証読取</t>
  </si>
  <si>
    <t>氏名、生年月日、必要に応じて住所/期限/免許種類等を読取</t>
  </si>
  <si>
    <t>collect_license_number=falseなら免許証番号を読まない</t>
  </si>
  <si>
    <t>https://github.com/lilivera/NFCReaderX/blob/main/app/src/main/java/com/nfcreaderx/nfc/DriverLicenseReader.kt</t>
  </si>
  <si>
    <t>F-010</t>
  </si>
  <si>
    <t>設定</t>
  </si>
  <si>
    <t>Android読取フィールド制御</t>
  </si>
  <si>
    <t>システム管理者</t>
  </si>
  <si>
    <t>読み取るEFファイルの有無を制御</t>
  </si>
  <si>
    <t>設定falseの項目は読取をスキップ</t>
  </si>
  <si>
    <t>https://github.com/lilivera/NFCReaderX/blob/main/app/src/main/java/com/nfcreaderx/NfcConfig.kt</t>
  </si>
  <si>
    <t>F-011</t>
  </si>
  <si>
    <t>確認</t>
  </si>
  <si>
    <t>読取内容確認</t>
  </si>
  <si>
    <t>読取結果をテーブル表示し送信前確認</t>
  </si>
  <si>
    <t>HTMLエスケープして表示すること</t>
  </si>
  <si>
    <t>F-012</t>
  </si>
  <si>
    <t>登録</t>
  </si>
  <si>
    <t>カードデータ送信</t>
  </si>
  <si>
    <t>確認後送信操作</t>
  </si>
  <si>
    <t>POST /api/submitへJSON送信しDB保存</t>
  </si>
  <si>
    <t>CSRF付き、user_idはサーバー側で付与</t>
  </si>
  <si>
    <t>F-013</t>
  </si>
  <si>
    <t>一覧</t>
  </si>
  <si>
    <t>記録一覧表示</t>
  </si>
  <si>
    <t>GET /api/records</t>
  </si>
  <si>
    <t>自分が登録したカード記録を日時降順で表示</t>
  </si>
  <si>
    <t>他ユーザーの記録が表示されないこと</t>
  </si>
  <si>
    <t>https://github.com/lilivera/NFCReaderX/blob/main/laravel/resources/views/records.blade.php</t>
  </si>
  <si>
    <t>F-014</t>
  </si>
  <si>
    <t>記録検索</t>
  </si>
  <si>
    <t>氏名/フリガナ/住所検索語</t>
  </si>
  <si>
    <t>LIKE検索で該当レコードを返却</t>
  </si>
  <si>
    <t>%/_/\はエスケープ</t>
  </si>
  <si>
    <t>F-015</t>
  </si>
  <si>
    <t>権限</t>
  </si>
  <si>
    <t>自データ分離</t>
  </si>
  <si>
    <t>Auth::id()</t>
  </si>
  <si>
    <t>card_recordsはログインユーザーIDで絞り込み</t>
  </si>
  <si>
    <t>user_id条件が常に付くこと</t>
  </si>
  <si>
    <t>F-016</t>
  </si>
  <si>
    <t>共通</t>
  </si>
  <si>
    <t>ログインユーザー情報取得</t>
  </si>
  <si>
    <t>GET /api/me</t>
  </si>
  <si>
    <t>id/name/role_codeを返却しヘッダー表示</t>
  </si>
  <si>
    <t>未認証時は取得不可</t>
  </si>
  <si>
    <t>F-017</t>
  </si>
  <si>
    <t>サーバー側フィールド設定</t>
  </si>
  <si>
    <t>管理者想定</t>
  </si>
  <si>
    <t>GET/PUT /api/config</t>
  </si>
  <si>
    <t>保存対象フィールド設定を参照・更新</t>
  </si>
  <si>
    <t>現行はauthのみ。管理者認可追加が必要</t>
  </si>
  <si>
    <t>F-018</t>
  </si>
  <si>
    <t>開発支援</t>
  </si>
  <si>
    <t>PCブラウザモック</t>
  </si>
  <si>
    <t>開発者</t>
  </si>
  <si>
    <t>Bridge.mockCard(type)</t>
  </si>
  <si>
    <t>Androidなしで読取結果をモック表示</t>
  </si>
  <si>
    <t>実機では使用不可にする</t>
  </si>
  <si>
    <t>Low</t>
  </si>
  <si>
    <t>https://github.com/lilivera/NFCReaderX/blob/main/laravel/public/js/bridge.js</t>
  </si>
  <si>
    <t>F-019</t>
  </si>
  <si>
    <t>端末制御</t>
  </si>
  <si>
    <t>Androidローカル保存抑止</t>
  </si>
  <si>
    <t>WebView設定</t>
  </si>
  <si>
    <t>DOM Storage/Database/キャッシュ/File accessを抑止</t>
  </si>
  <si>
    <t>端末に業務データを残さない方針</t>
  </si>
  <si>
    <t>F-020</t>
  </si>
  <si>
    <t>セットアップ</t>
  </si>
  <si>
    <t>初期ユーザー投入</t>
  </si>
  <si>
    <t>php artisan db:seed</t>
  </si>
  <si>
    <t>ADMIN001/EMP001を投入</t>
  </si>
  <si>
    <t>本番では既知パスワードを残さないこと</t>
  </si>
  <si>
    <t>https://github.com/lilivera/NFCReaderX/blob/main/laravel/database/seeders/UserSeeder.php</t>
  </si>
  <si>
    <t>04. 画面仕様</t>
  </si>
  <si>
    <t>画面・状態ごとの表示項目、操作、遷移、補足を定義する。</t>
  </si>
  <si>
    <t>画面ID</t>
  </si>
  <si>
    <t>画面/状態</t>
  </si>
  <si>
    <t>URL/実装</t>
  </si>
  <si>
    <t>主な表示項目</t>
  </si>
  <si>
    <t>主な処理</t>
  </si>
  <si>
    <t>動作仕様</t>
  </si>
  <si>
    <t>S-001</t>
  </si>
  <si>
    <t>ログイン画面</t>
  </si>
  <si>
    <t>/login</t>
  </si>
  <si>
    <t>社員番号、パスワード、ログインボタン、エラー表示</t>
  </si>
  <si>
    <t>POST /login</t>
  </si>
  <si>
    <t>認証失敗時は同画面にエラー。old(employee_id)を表示。</t>
  </si>
  <si>
    <t>CSRFあり。autocomplete=username/current-password。</t>
  </si>
  <si>
    <t>https://github.com/lilivera/NFCReaderX/blob/main/laravel/resources/views/auth/login.blade.php</t>
  </si>
  <si>
    <t>S-002</t>
  </si>
  <si>
    <t>スキャン待機</t>
  </si>
  <si>
    <t>/</t>
  </si>
  <si>
    <t>NFCアイコン、カードタッチ案内、NFC警告、ユーザー名、ログアウト</t>
  </si>
  <si>
    <t>Bridge.startScan()</t>
  </si>
  <si>
    <t>カード検出を待つ。PCブラウザ時はNFC警告表示。</t>
  </si>
  <si>
    <t>Android側は常時foreground dispatch。</t>
  </si>
  <si>
    <t>S-003</t>
  </si>
  <si>
    <t>読取中</t>
  </si>
  <si>
    <t>スピナー、カードを離さない案内</t>
  </si>
  <si>
    <t>window.onCardReading()</t>
  </si>
  <si>
    <t>PIN受信後、読取中表示に切替。</t>
  </si>
  <si>
    <t>読取完了/失敗まで維持。</t>
  </si>
  <si>
    <t>S-004</t>
  </si>
  <si>
    <t>確認画面</t>
  </si>
  <si>
    <t>カード種別バッジ、読取項目テーブル、キャンセル、送信ボタン、送信結果</t>
  </si>
  <si>
    <t>window.onCardData(), POST /api/submit</t>
  </si>
  <si>
    <t>読取データを確認して送信。送信後にcurrentCardDataをnull化。</t>
  </si>
  <si>
    <t>表示値はescHtmlでエスケープ。</t>
  </si>
  <si>
    <t>S-005</t>
  </si>
  <si>
    <t>記録一覧</t>
  </si>
  <si>
    <t>/records</t>
  </si>
  <si>
    <t>検索欄、件数、レコードカード、詳細モーダル、スキャン戻り、ログアウト</t>
  </si>
  <si>
    <t>氏名/フリガナ/住所で検索し、結果を一覧表示。</t>
  </si>
  <si>
    <t>取得件数totalとrowsを表示。</t>
  </si>
  <si>
    <t>S-006</t>
  </si>
  <si>
    <t>詳細モーダル</t>
  </si>
  <si>
    <t>カード種別、氏名、生年月日、任意項目、送信日時、閉じる</t>
  </si>
  <si>
    <t>一覧行クリック/Enter</t>
  </si>
  <si>
    <t>選択行の詳細をモーダル表示。</t>
  </si>
  <si>
    <t>Escape/背景クリック/閉じるで終了。</t>
  </si>
  <si>
    <t>S-007</t>
  </si>
  <si>
    <t>Android PINダイアログ</t>
  </si>
  <si>
    <t>Native AlertDialog</t>
  </si>
  <si>
    <t>カード名、4桁PIN入力、読み取る、キャンセル</t>
  </si>
  <si>
    <t>readCardWithPin(pin)</t>
  </si>
  <si>
    <t>カード検出後にAndroid側で表示。</t>
  </si>
  <si>
    <t>WebページにはPIN入力フォームを持たない。</t>
  </si>
  <si>
    <t>05. API仕様</t>
  </si>
  <si>
    <t>LaravelルーティングとAPIの入出力、認証、バリデーションを定義する。</t>
  </si>
  <si>
    <t>API ID</t>
  </si>
  <si>
    <t>Method</t>
  </si>
  <si>
    <t>Path</t>
  </si>
  <si>
    <t>Request</t>
  </si>
  <si>
    <t>Response</t>
  </si>
  <si>
    <t>実装</t>
  </si>
  <si>
    <t>仕様/Validation</t>
  </si>
  <si>
    <t>A-001</t>
  </si>
  <si>
    <t>GET</t>
  </si>
  <si>
    <t>不要</t>
  </si>
  <si>
    <t>なし</t>
  </si>
  <si>
    <t>ログイン画面HTML</t>
  </si>
  <si>
    <t>LoginController@showLoginForm</t>
  </si>
  <si>
    <t>ログイン画面表示</t>
  </si>
  <si>
    <t>https://github.com/lilivera/NFCReaderX/blob/main/laravel/routes/web.php</t>
  </si>
  <si>
    <t>A-002</t>
  </si>
  <si>
    <t>POST</t>
  </si>
  <si>
    <t>employee_id, password</t>
  </si>
  <si>
    <t>リダイレクトまたはエラー</t>
  </si>
  <si>
    <t>LoginController@login</t>
  </si>
  <si>
    <t>入力必須/string。成功時session regenerate。</t>
  </si>
  <si>
    <t>A-003</t>
  </si>
  <si>
    <t>/logout</t>
  </si>
  <si>
    <t>必要</t>
  </si>
  <si>
    <t>CSRF</t>
  </si>
  <si>
    <t>/loginへリダイレクト</t>
  </si>
  <si>
    <t>LoginController@logout</t>
  </si>
  <si>
    <t>セッションinvalidate、token再生成。</t>
  </si>
  <si>
    <t>A-004</t>
  </si>
  <si>
    <t>scan.blade.php</t>
  </si>
  <si>
    <t>Route closure</t>
  </si>
  <si>
    <t>スキャン画面。</t>
  </si>
  <si>
    <t>A-005</t>
  </si>
  <si>
    <t>records.blade.php</t>
  </si>
  <si>
    <t>記録一覧画面。</t>
  </si>
  <si>
    <t>A-006</t>
  </si>
  <si>
    <t>/api/me</t>
  </si>
  <si>
    <t>id, name, role_code</t>
  </si>
  <si>
    <t>CardController@me</t>
  </si>
  <si>
    <t>ヘッダー表示用。</t>
  </si>
  <si>
    <t>A-007</t>
  </si>
  <si>
    <t>/api/submit</t>
  </si>
  <si>
    <t>card_type, name, name_kana, date_of_birth, gender, address, expiry_date, license_categories</t>
  </si>
  <si>
    <t>{"status":"ok"}</t>
  </si>
  <si>
    <t>CardController@submit</t>
  </si>
  <si>
    <t>card_typeは2種のみ。name/date_of_birth必須。user_idはAuth::id()。</t>
  </si>
  <si>
    <t>A-008</t>
  </si>
  <si>
    <t>/api/records</t>
  </si>
  <si>
    <t>q任意</t>
  </si>
  <si>
    <t>total, rows</t>
  </si>
  <si>
    <t>CardController@records</t>
  </si>
  <si>
    <t>user_id=Auth::id()で絞込。qは氏名/フリガナ/住所LIKE。最大200件。</t>
  </si>
  <si>
    <t>A-009</t>
  </si>
  <si>
    <t>/api/config</t>
  </si>
  <si>
    <t>fields</t>
  </si>
  <si>
    <t>ConfigController@show</t>
  </si>
  <si>
    <t>settingsから取得。未設定時はDEFAULTS。</t>
  </si>
  <si>
    <t>A-010</t>
  </si>
  <si>
    <t>PUT</t>
  </si>
  <si>
    <t>fields.* boolean</t>
  </si>
  <si>
    <t>ConfigController@update</t>
  </si>
  <si>
    <t>現行はauthのみ。管理者権限チェック追加推奨。</t>
  </si>
  <si>
    <t>06. DB仕様</t>
  </si>
  <si>
    <t>主要テーブル・項目仕様。マイグレーションファイルは未確認のため、README・モデル・Controllerから整理した現行実装ベース。</t>
  </si>
  <si>
    <t>テーブル</t>
  </si>
  <si>
    <t>カラム</t>
  </si>
  <si>
    <t>型/桁</t>
  </si>
  <si>
    <t>必須</t>
  </si>
  <si>
    <t>キー</t>
  </si>
  <si>
    <t>説明</t>
  </si>
  <si>
    <t>備考/保持方針</t>
  </si>
  <si>
    <t>users</t>
  </si>
  <si>
    <t>id</t>
  </si>
  <si>
    <t>NUMBER/BIGINT相当</t>
  </si>
  <si>
    <t>○</t>
  </si>
  <si>
    <t>PK</t>
  </si>
  <si>
    <t>ユーザー内部ID</t>
  </si>
  <si>
    <t>Laravel標準。モデルから関係参照に使用。</t>
  </si>
  <si>
    <t>https://github.com/lilivera/NFCReaderX/blob/main/laravel/app/Models/User.php</t>
  </si>
  <si>
    <t>employee_id</t>
  </si>
  <si>
    <t>VARCHAR2(20)</t>
  </si>
  <si>
    <t>UNIQUE</t>
  </si>
  <si>
    <t>社員番号（ログインID）</t>
  </si>
  <si>
    <t>READMEのユーザー管理表に記載。</t>
  </si>
  <si>
    <t>name</t>
  </si>
  <si>
    <t>VARCHAR2(100)</t>
  </si>
  <si>
    <t>氏名</t>
  </si>
  <si>
    <t>画面ヘッダー表示、管理識別に使用。</t>
  </si>
  <si>
    <t>role_code</t>
  </si>
  <si>
    <t>役職/権限コード</t>
  </si>
  <si>
    <t>現行はmeで返却。config更新認可には未使用。</t>
  </si>
  <si>
    <t>is_active</t>
  </si>
  <si>
    <t>BOOLEAN相当</t>
  </si>
  <si>
    <t>有効/無効フラグ</t>
  </si>
  <si>
    <t>無効ユーザーはログイン後に拒否。</t>
  </si>
  <si>
    <t>password</t>
  </si>
  <si>
    <t>VARCHAR2(255)</t>
  </si>
  <si>
    <t>bcryptハッシュ</t>
  </si>
  <si>
    <t>castsでhashed。hidden対象。</t>
  </si>
  <si>
    <t>remember_token</t>
  </si>
  <si>
    <t>VARCHAR2相当</t>
  </si>
  <si>
    <t>任意</t>
  </si>
  <si>
    <t>Remember token</t>
  </si>
  <si>
    <t>hidden対象。実マイグレーション未確認。</t>
  </si>
  <si>
    <t>card_records</t>
  </si>
  <si>
    <t>カード記録ID</t>
  </si>
  <si>
    <t>Eloquent標準ID想定。</t>
  </si>
  <si>
    <t>https://github.com/lilivera/NFCReaderX/blob/main/laravel/app/Models/CardRecord.php</t>
  </si>
  <si>
    <t>user_id</t>
  </si>
  <si>
    <t>FK</t>
  </si>
  <si>
    <t>登録者ユーザーID</t>
  </si>
  <si>
    <t>Auth::id()をサーバー側で付与。</t>
  </si>
  <si>
    <t>card_type</t>
  </si>
  <si>
    <t>MY_NUMBER_CARD / DRIVER_LICENSE</t>
  </si>
  <si>
    <t>validateで2種に限定。</t>
  </si>
  <si>
    <t>VARCHAR2(100)相当</t>
  </si>
  <si>
    <t>登録・一覧・検索対象。</t>
  </si>
  <si>
    <t>name_kana</t>
  </si>
  <si>
    <t>フリガナ</t>
  </si>
  <si>
    <t>検索対象。collect_name_kanaによりnullあり。</t>
  </si>
  <si>
    <t>date_of_birth</t>
  </si>
  <si>
    <t>VARCHAR2(10)相当</t>
  </si>
  <si>
    <t>生年月日</t>
  </si>
  <si>
    <t>YYYY/MM/DD想定。</t>
  </si>
  <si>
    <t>gender</t>
  </si>
  <si>
    <t>VARCHAR2(4)相当</t>
  </si>
  <si>
    <t>性別</t>
  </si>
  <si>
    <t>collect_genderによりnullあり。</t>
  </si>
  <si>
    <t>address</t>
  </si>
  <si>
    <t>VARCHAR2(200)相当</t>
  </si>
  <si>
    <t>住所</t>
  </si>
  <si>
    <t>検索対象。collect_addressによりnullあり。</t>
  </si>
  <si>
    <t>expiry_date</t>
  </si>
  <si>
    <t>有効期限</t>
  </si>
  <si>
    <t>collect_expiry_dateによりnullあり。</t>
  </si>
  <si>
    <t>license_categories</t>
  </si>
  <si>
    <t>免許の種類</t>
  </si>
  <si>
    <t>運転免許証のみ。</t>
  </si>
  <si>
    <t>submitted_at</t>
  </si>
  <si>
    <t>NUMBER相当</t>
  </si>
  <si>
    <t>送信日時ミリ秒</t>
  </si>
  <si>
    <t>microtime(true)*1000。</t>
  </si>
  <si>
    <t>my_number</t>
  </si>
  <si>
    <t>列なし</t>
  </si>
  <si>
    <t>—</t>
  </si>
  <si>
    <t>マイナンバー</t>
  </si>
  <si>
    <t>保存対象外。モデルfillableに含まれない。</t>
  </si>
  <si>
    <t>license_number</t>
  </si>
  <si>
    <t>免許証番号</t>
  </si>
  <si>
    <t>settings</t>
  </si>
  <si>
    <t>設定ID</t>
  </si>
  <si>
    <t>https://github.com/lilivera/NFCReaderX/blob/main/laravel/app/Models/Setting.php</t>
  </si>
  <si>
    <t>key</t>
  </si>
  <si>
    <t>UNIQUE想定</t>
  </si>
  <si>
    <t>設定キー</t>
  </si>
  <si>
    <t>collect_*キーを格納。</t>
  </si>
  <si>
    <t>value</t>
  </si>
  <si>
    <t>設定値</t>
  </si>
  <si>
    <t>true/false文字列として保存。</t>
  </si>
  <si>
    <t>updated_at</t>
  </si>
  <si>
    <t>TIMESTAMP相当</t>
  </si>
  <si>
    <t>更新日時</t>
  </si>
  <si>
    <t>upsert時にnow()を保存。timestamps=false。</t>
  </si>
  <si>
    <t>sessions</t>
  </si>
  <si>
    <t>セッションID</t>
  </si>
  <si>
    <t>SESSION_DRIVER=databaseがデフォルト。詳細列はLaravel標準。</t>
  </si>
  <si>
    <t>https://github.com/lilivera/NFCReaderX/blob/main/laravel/config/session.php</t>
  </si>
  <si>
    <t>07. Android / NFC仕様</t>
  </si>
  <si>
    <t>Android APK、WebView、JavaScriptブリッジ、NFC/APDU読取仕様を整理する。</t>
  </si>
  <si>
    <t>方式</t>
  </si>
  <si>
    <t>対象ファイル</t>
  </si>
  <si>
    <t>AN-001</t>
  </si>
  <si>
    <t>ビルド設定</t>
  </si>
  <si>
    <t>compileSdk 34、minSdk 26、targetSdk 34、Java/Kotlin 17、version 1.0</t>
  </si>
  <si>
    <t>Android Gradle / Kotlin</t>
  </si>
  <si>
    <t>app/build.gradle</t>
  </si>
  <si>
    <t>https://github.com/lilivera/NFCReaderX/blob/main/app/build.gradle</t>
  </si>
  <si>
    <t>AN-002</t>
  </si>
  <si>
    <t>依存ライブラリ</t>
  </si>
  <si>
    <t>core-ktx, appcompat, Gson, coroutines, lifecycle-runtime-ktx。Room/Retrofit/OkHttpなし。</t>
  </si>
  <si>
    <t>最小依存</t>
  </si>
  <si>
    <t>README / build.gradle</t>
  </si>
  <si>
    <t>AN-003</t>
  </si>
  <si>
    <t>NFC、INTERNET。NFC feature required=true。</t>
  </si>
  <si>
    <t>AndroidManifest</t>
  </si>
  <si>
    <t>AndroidManifest.xml</t>
  </si>
  <si>
    <t>https://github.com/lilivera/NFCReaderX/blob/main/app/src/main/AndroidManifest.xml</t>
  </si>
  <si>
    <t>AN-004</t>
  </si>
  <si>
    <t>Activity</t>
  </si>
  <si>
    <t>NfcBridgeActivity exported=true、singleTop、sensorLandscape、adjustResize。Launcher兼NFC TECH_DISCOVERED受信。</t>
  </si>
  <si>
    <t>Android Activity</t>
  </si>
  <si>
    <t>AN-005</t>
  </si>
  <si>
    <t>JavaScript有効、DOM Storage無効、database無効、no cache、file access無効、mixed content常時許可。</t>
  </si>
  <si>
    <t>WebSettings</t>
  </si>
  <si>
    <t>NfcBridgeActivity.kt</t>
  </si>
  <si>
    <t>AN-006</t>
  </si>
  <si>
    <t>CookieManagerでCookie受入、third-party cookiesはfalse。</t>
  </si>
  <si>
    <t>Laravel session</t>
  </si>
  <si>
    <t>AN-007</t>
  </si>
  <si>
    <t>JS Bridge</t>
  </si>
  <si>
    <t>NfcAndroid.startScan/submitPin/cancelScan/getConfigを公開。</t>
  </si>
  <si>
    <t>addJavascriptInterface</t>
  </si>
  <si>
    <t>NfcBridgeActivity.kt / bridge.js</t>
  </si>
  <si>
    <t>AN-008</t>
  </si>
  <si>
    <t>Android→Web callback</t>
  </si>
  <si>
    <t>onCardReading/onCardData/onCardErrorをevaluateJavascriptで呼び出し。</t>
  </si>
  <si>
    <t>WebView JS callback</t>
  </si>
  <si>
    <t>AN-009</t>
  </si>
  <si>
    <t>NFC foreground dispatch</t>
  </si>
  <si>
    <t>onResumeでenableForegroundDispatch、onPauseでdisable。</t>
  </si>
  <si>
    <t>NfcAdapter</t>
  </si>
  <si>
    <t>AN-010</t>
  </si>
  <si>
    <t>マイナンバーカードAID</t>
  </si>
  <si>
    <t>D3921002310001010408。PIN必須。EF_NAME/EF_KANA/EF_BIRTH/EF_GENDER/EF_ADDRESS/EF_EXPIRY/EF_MY_NUM。</t>
  </si>
  <si>
    <t>APDU</t>
  </si>
  <si>
    <t>MyNumberCardReader.kt</t>
  </si>
  <si>
    <t>AN-011</t>
  </si>
  <si>
    <t>運転免許証AID</t>
  </si>
  <si>
    <t>D392F000260100000001。暗証番号1。EF_NAME/EF_BIRTH/EF_ADDRESS/EF_LIC_NUM/EF_EXPIRY/EF_CATEGORIES/EF_KANA。</t>
  </si>
  <si>
    <t>DriverLicenseReader.kt</t>
  </si>
  <si>
    <t>AN-012</t>
  </si>
  <si>
    <t>読取データモデル</t>
  </si>
  <si>
    <t>cardType, name, nameKana, dateOfBirth, gender, address, expiryDate, myNumber, licenseNumber, licenseCategories。</t>
  </si>
  <si>
    <t>CardData</t>
  </si>
  <si>
    <t>CardData.kt</t>
  </si>
  <si>
    <t>AN-013</t>
  </si>
  <si>
    <t>Android設定</t>
  </si>
  <si>
    <t>server_urlとcollect_*設定をassets/nfc_config.jsonで管理。デフォルトは番号収集false。</t>
  </si>
  <si>
    <t>NfcConfig.kt / nfc_config.json</t>
  </si>
  <si>
    <t>AN-014</t>
  </si>
  <si>
    <t>PCデバッグ</t>
  </si>
  <si>
    <t>window.NfcAndroidがない場合、Bridge.mockCardでモックデータを返す。</t>
  </si>
  <si>
    <t>bridge.js</t>
  </si>
  <si>
    <t>laravel/public/js/bridge.js</t>
  </si>
  <si>
    <t>08. セキュリティ設計</t>
  </si>
  <si>
    <t>現行実装のセキュリティ制御、リスク、改善方針を整理する。</t>
  </si>
  <si>
    <t>観点</t>
  </si>
  <si>
    <t>現行仕様</t>
  </si>
  <si>
    <t>改善/確認事項</t>
  </si>
  <si>
    <t>重要度</t>
  </si>
  <si>
    <t>SEC-001</t>
  </si>
  <si>
    <t>社員番号＋パスワード。ログイン成功時にセッション再生成。</t>
  </si>
  <si>
    <t>実装済み</t>
  </si>
  <si>
    <t>パスワードポリシー、ロックアウト、初期パスワード変更は追加検討。</t>
  </si>
  <si>
    <t>SEC-002</t>
  </si>
  <si>
    <t>Blade画面はCSRFトークンを持ち、POST/PUTでX-CSRF-TOKENまたは@csrfを使用。</t>
  </si>
  <si>
    <t>一部実装済み</t>
  </si>
  <si>
    <t>API利用がWebView前提であることを明確化。</t>
  </si>
  <si>
    <t>SEC-003</t>
  </si>
  <si>
    <t>データ最小化</t>
  </si>
  <si>
    <t>マイナンバー・免許証番号はデフォルトで読まない/保存しない。</t>
  </si>
  <si>
    <t>方針実装あり</t>
  </si>
  <si>
    <t>サーバー側の保存禁止強制は追加が必要。</t>
  </si>
  <si>
    <t>SEC-004</t>
  </si>
  <si>
    <t>DB保存</t>
  </si>
  <si>
    <t>CardRecordモデルにはmy_number/license_numberをfillableに含めない。</t>
  </si>
  <si>
    <t>マイグレーションでも列不存在を確認する。</t>
  </si>
  <si>
    <t>SEC-005</t>
  </si>
  <si>
    <t>端末ローカル保存</t>
  </si>
  <si>
    <t>DOM Storage/database/cache/file accessを抑止。Room DBなし。</t>
  </si>
  <si>
    <t>WebView/OSキャッシュ・スクリーンショット抑止も検討。</t>
  </si>
  <si>
    <t>SEC-006</t>
  </si>
  <si>
    <t>現行はHTTP cleartext許可。READMEでもイントラHTTP前提。</t>
  </si>
  <si>
    <t>要改善</t>
  </si>
  <si>
    <t>本番はHTTPS、cleartext禁止、mixed content禁止を推奨。</t>
  </si>
  <si>
    <t>SEC-007</t>
  </si>
  <si>
    <t>WebView JS Bridge</t>
  </si>
  <si>
    <t>JavaScript有効かつNfcAndroid bridgeを公開。</t>
  </si>
  <si>
    <t>要制御</t>
  </si>
  <si>
    <t>許可ホスト制限、改ざん対策、TLS必須化が必要。</t>
  </si>
  <si>
    <t>SEC-008</t>
  </si>
  <si>
    <t>設定変更権限</t>
  </si>
  <si>
    <t>PUT /api/configはauthのみ。role_code認可は未実装。</t>
  </si>
  <si>
    <t>ADMINのみ更新可能にする。変更監査ログを追加。</t>
  </si>
  <si>
    <t>SEC-009</t>
  </si>
  <si>
    <t>初期アカウント</t>
  </si>
  <si>
    <t>ADMIN001/EMP001 + changemeをSeederに保持。</t>
  </si>
  <si>
    <t>要運用対策</t>
  </si>
  <si>
    <t>本番seed禁止、ランダム初期PW、再seedで上書きしない。</t>
  </si>
  <si>
    <t>SEC-010</t>
  </si>
  <si>
    <t>監査ログ</t>
  </si>
  <si>
    <t>設定変更、登録、認証失敗等の監査ログ仕様は未整理。</t>
  </si>
  <si>
    <t>未実装/未確認</t>
  </si>
  <si>
    <t>誰が・いつ・何をしたかを記録する設計を追加。</t>
  </si>
  <si>
    <t>SEC-011</t>
  </si>
  <si>
    <t>アクセス分離</t>
  </si>
  <si>
    <t>一覧はuser_id=Auth::id()で自分のデータのみ返却。</t>
  </si>
  <si>
    <t>管理者横断閲覧が必要なら別権限・別画面化。</t>
  </si>
  <si>
    <t>09. 運用仕様</t>
  </si>
  <si>
    <t>初期構築、リリース、設定変更、バックアップ、障害対応の運用仕様を定義する。</t>
  </si>
  <si>
    <t>運用ID</t>
  </si>
  <si>
    <t>作業/仕様</t>
  </si>
  <si>
    <t>タイミング</t>
  </si>
  <si>
    <t>注意事項</t>
  </si>
  <si>
    <t>OP-001</t>
  </si>
  <si>
    <t>Laravel初期設定</t>
  </si>
  <si>
    <t>laravel/.envを編集し、Oracle接続先・APP_URL・セッション設定を指定する。</t>
  </si>
  <si>
    <t>リリース前</t>
  </si>
  <si>
    <t>本番APP_KEY、DB権限、SESSION_SECURE_COOKIEを確認</t>
  </si>
  <si>
    <t>OP-002</t>
  </si>
  <si>
    <t>DBマイグレーション</t>
  </si>
  <si>
    <t>php artisan migrateでOracle DBへテーブル作成。</t>
  </si>
  <si>
    <t>初回/更新時</t>
  </si>
  <si>
    <t>本番はバックアップ取得後、--forceで実行</t>
  </si>
  <si>
    <t>OP-003</t>
  </si>
  <si>
    <t>初期ユーザー</t>
  </si>
  <si>
    <t>php artisan db:seedでADMIN001/EMP001を投入。</t>
  </si>
  <si>
    <t>初回のみ</t>
  </si>
  <si>
    <t>本番では初期パスワードを変更/seed見直し</t>
  </si>
  <si>
    <t>OP-004</t>
  </si>
  <si>
    <t>サーバー起動</t>
  </si>
  <si>
    <t>検証はphp artisan serve --host=0.0.0.0 --port=8080。本番はApache/Nginx + PHP-FPM。</t>
  </si>
  <si>
    <t>検証/本番</t>
  </si>
  <si>
    <t>ドキュメントルートはlaravel/public</t>
  </si>
  <si>
    <t>OP-005</t>
  </si>
  <si>
    <t>app/src/main/assets/nfc_config.jsonのserver_urlを本番サーバーへ変更。</t>
  </si>
  <si>
    <t>APKビルド前</t>
  </si>
  <si>
    <t>collect_*設定も確認</t>
  </si>
  <si>
    <t>OP-006</t>
  </si>
  <si>
    <t>Androidビルド</t>
  </si>
  <si>
    <t>./gradlew assembleReleaseでrelease APKを作成。</t>
  </si>
  <si>
    <t>リリース時</t>
  </si>
  <si>
    <t>releaseはminify/shrinkResources有効</t>
  </si>
  <si>
    <t>OP-007</t>
  </si>
  <si>
    <t>端末配布</t>
  </si>
  <si>
    <t>adb installまたはMDM/手動配布でタブレットへAPK導入。</t>
  </si>
  <si>
    <t>端末NFC有効化、ネットワーク接続、URL到達性確認</t>
  </si>
  <si>
    <t>OP-008</t>
  </si>
  <si>
    <t>設定変更</t>
  </si>
  <si>
    <t>GET/PUT /api/configでフィールド設定を管理。</t>
  </si>
  <si>
    <t>必要時</t>
  </si>
  <si>
    <t>管理者認可と変更履歴を追加する</t>
  </si>
  <si>
    <t>OP-009</t>
  </si>
  <si>
    <t>データ保全</t>
  </si>
  <si>
    <t>card_records/users/settings/sessionsをDBバックアップ対象とする。</t>
  </si>
  <si>
    <t>日次/運用設計</t>
  </si>
  <si>
    <t>保存期間・削除方針は別途決定</t>
  </si>
  <si>
    <t>OP-010</t>
  </si>
  <si>
    <t>障害対応</t>
  </si>
  <si>
    <t>NFC読取失敗、PINブロック、DB接続失敗、セッション切れ、送信失敗を想定する。</t>
  </si>
  <si>
    <t>随時</t>
  </si>
  <si>
    <t>エラーコードと利用者向けメッセージを整理</t>
  </si>
  <si>
    <t>OP-011</t>
  </si>
  <si>
    <t>監査</t>
  </si>
  <si>
    <t>認証、登録、設定変更、管理操作を監査ログ対象とする。</t>
  </si>
  <si>
    <t>運用設計</t>
  </si>
  <si>
    <t>現行コードに専用監査ログは未確認</t>
  </si>
  <si>
    <t>10. 試験観点</t>
  </si>
  <si>
    <t>受入試験、連携試験、セキュリティ試験の観点を定義する。</t>
  </si>
  <si>
    <t>試験ID</t>
  </si>
  <si>
    <t>試験項目</t>
  </si>
  <si>
    <t>条件/手順</t>
  </si>
  <si>
    <t>期待結果</t>
  </si>
  <si>
    <t>関連仕様</t>
  </si>
  <si>
    <t>T-001</t>
  </si>
  <si>
    <t>正常ログイン</t>
  </si>
  <si>
    <t>有効ユーザーが正しい社員番号/PWを入力</t>
  </si>
  <si>
    <t>トップ画面へ遷移しユーザー名が表示される</t>
  </si>
  <si>
    <t>T-002</t>
  </si>
  <si>
    <t>不正ログイン</t>
  </si>
  <si>
    <t>誤ったPWを入力</t>
  </si>
  <si>
    <t>エラーが表示されログイン不可</t>
  </si>
  <si>
    <t>T-003</t>
  </si>
  <si>
    <t>無効ユーザーログイン</t>
  </si>
  <si>
    <t>is_active=falseのユーザーでログイン</t>
  </si>
  <si>
    <t>認証後に拒否される</t>
  </si>
  <si>
    <t>T-004</t>
  </si>
  <si>
    <t>未対応カード</t>
  </si>
  <si>
    <t>IsoDep非対応または未知AIDのカードをタッチ</t>
  </si>
  <si>
    <t>対応カードを検出できない旨を表示</t>
  </si>
  <si>
    <t>F-005/F-006</t>
  </si>
  <si>
    <t>T-005</t>
  </si>
  <si>
    <t>PIN誤入力</t>
  </si>
  <si>
    <t>誤ったPINを入力</t>
  </si>
  <si>
    <t>残回数またはPIN誤りエラーを表示</t>
  </si>
  <si>
    <t>T-006</t>
  </si>
  <si>
    <t>collect_my_number=false</t>
  </si>
  <si>
    <t>個人番号を読まず、氏名等だけ確認画面に表示</t>
  </si>
  <si>
    <t>T-007</t>
  </si>
  <si>
    <t>collect_license_number=false</t>
  </si>
  <si>
    <t>免許証番号を読まず、氏名等だけ確認画面に表示</t>
  </si>
  <si>
    <t>T-008</t>
  </si>
  <si>
    <t>正常送信</t>
  </si>
  <si>
    <t>確認画面で送信</t>
  </si>
  <si>
    <t>POST /api/submit成功、card_recordsにuser_id付きで登録</t>
  </si>
  <si>
    <t>T-009</t>
  </si>
  <si>
    <t>バリデーション</t>
  </si>
  <si>
    <t>必須項目不足または不正card_typeを送信</t>
  </si>
  <si>
    <t>422等で拒否され保存されない</t>
  </si>
  <si>
    <t>T-010</t>
  </si>
  <si>
    <t>自データのみ表示</t>
  </si>
  <si>
    <t>複数ユーザーの記録あり</t>
  </si>
  <si>
    <t>ログインユーザーの記録のみ表示</t>
  </si>
  <si>
    <t>T-011</t>
  </si>
  <si>
    <t>検索エスケープ</t>
  </si>
  <si>
    <t>%/_/\を含む検索語</t>
  </si>
  <si>
    <t>意図しないワイルドカードにならない</t>
  </si>
  <si>
    <t>T-012</t>
  </si>
  <si>
    <t>画面</t>
  </si>
  <si>
    <t>XSS表示防止</t>
  </si>
  <si>
    <t>氏名/住所にHTML特殊文字を含むデータ</t>
  </si>
  <si>
    <t>HTMLとして実行されず文字列表示</t>
  </si>
  <si>
    <t>S-004/S-005</t>
  </si>
  <si>
    <t>T-013</t>
  </si>
  <si>
    <t>設定参照</t>
  </si>
  <si>
    <t>settings未設定</t>
  </si>
  <si>
    <t>DEFAULTSが返る</t>
  </si>
  <si>
    <t>T-014</t>
  </si>
  <si>
    <t>設定更新権限</t>
  </si>
  <si>
    <t>一般ユーザーがPUT /api/config</t>
  </si>
  <si>
    <t>本来は拒否すべき。現行は改善課題として検出</t>
  </si>
  <si>
    <t>T-015</t>
  </si>
  <si>
    <t>セキュリティ</t>
  </si>
  <si>
    <t>番号列不存在</t>
  </si>
  <si>
    <t>DB定義確認</t>
  </si>
  <si>
    <t>my_number/license_number列がcard_recordsに存在しない</t>
  </si>
  <si>
    <t>T-016</t>
  </si>
  <si>
    <t>HTTPS化</t>
  </si>
  <si>
    <t>HTTPS設定環境</t>
  </si>
  <si>
    <t>HTTP cleartextを使わず接続できる</t>
  </si>
  <si>
    <t>T-017</t>
  </si>
  <si>
    <t>PCモック</t>
  </si>
  <si>
    <t>PCブラウザでBridge.mockCard実行</t>
  </si>
  <si>
    <t>確認画面にモックデータが表示される</t>
  </si>
  <si>
    <t>11. 課題・確認事項</t>
  </si>
  <si>
    <t>現行実装から見た未確定事項、改善課題、運用確認事項を管理する。</t>
  </si>
  <si>
    <t>課題ID</t>
  </si>
  <si>
    <t>対応方針</t>
  </si>
  <si>
    <t>Q-001</t>
  </si>
  <si>
    <t>HTTP cleartext + JS bridge + mixed content許可</t>
  </si>
  <si>
    <t>本番はHTTPS必須、cleartextTrafficPermitted=false、mixedContentMode=NEVER_ALLOW、許可ホスト制限を実装する。</t>
  </si>
  <si>
    <t>未対応</t>
  </si>
  <si>
    <t>Q-002</t>
  </si>
  <si>
    <t>サーバー側フィールド設定がsubmit保存時に強制されていない</t>
  </si>
  <si>
    <t>CardController::submitでSettingを参照し、保存禁止項目は破棄または拒否する。</t>
  </si>
  <si>
    <t>Q-003</t>
  </si>
  <si>
    <t>PUT /api/configに管理者認可がない</t>
  </si>
  <si>
    <t>role_code=ADMIN等の認可を追加し、変更履歴を残す。</t>
  </si>
  <si>
    <t>Q-004</t>
  </si>
  <si>
    <t>Seederに既知初期パスワードchangemeが含まれる</t>
  </si>
  <si>
    <t>本番seeder除外、ランダム初期PW、既存PW上書き禁止に変更する。</t>
  </si>
  <si>
    <t>Q-005</t>
  </si>
  <si>
    <t>DBマイグレーション定義の実ファイル未確認</t>
  </si>
  <si>
    <t>users/card_records/settings/sessionsの型・制約・インデックスをマイグレーションで確認する。</t>
  </si>
  <si>
    <t>確認中</t>
  </si>
  <si>
    <t>Q-006</t>
  </si>
  <si>
    <t>監査ログ仕様が未定義</t>
  </si>
  <si>
    <t>登録、認証失敗、設定変更、管理操作の監査ログ設計を追加する。</t>
  </si>
  <si>
    <t>Q-007</t>
  </si>
  <si>
    <t>データ保存期間・削除方針が未定義</t>
  </si>
  <si>
    <t>個人情報を含むため保存期間、削除権限、バックアップ保持を明文化する。</t>
  </si>
  <si>
    <t>Q-008</t>
  </si>
  <si>
    <t>PINブロック時の業務手順</t>
  </si>
  <si>
    <t>市区町村/警察署対応案内、再試行回数、職員向け説明を運用手順化する。</t>
  </si>
  <si>
    <t>Q-009</t>
  </si>
  <si>
    <t>Android端末紛失時対応</t>
  </si>
  <si>
    <t>MDM、画面ロック、リモートワイプ、端末棚卸を運用仕様に追加する。</t>
  </si>
  <si>
    <t>Q-010</t>
  </si>
  <si>
    <t>本番Webサーバー方式</t>
  </si>
  <si>
    <t>Apache/Nginx + PHP-FPM構成、証明書、ログローテーション、権限を別紙化する。</t>
  </si>
  <si>
    <t>12. ソース参照</t>
  </si>
  <si>
    <t>本設計書作成時に参照したファイルと利用目的。</t>
  </si>
  <si>
    <t>ファイル</t>
  </si>
  <si>
    <t>参照内容</t>
  </si>
  <si>
    <t>URL</t>
  </si>
  <si>
    <t>README.md</t>
  </si>
  <si>
    <t>アーキテクチャ、フロー、対応カード、セットアップ、API、セキュリティ方針</t>
  </si>
  <si>
    <t>app/src/main/AndroidManifest.xml</t>
  </si>
  <si>
    <t>Android権限、Activity、NFC intent-filter</t>
  </si>
  <si>
    <t>app/src/main/res/xml/network_security_config.xml</t>
  </si>
  <si>
    <t>HTTP cleartext許可、trust anchors</t>
  </si>
  <si>
    <t>app/src/main/assets/nfc_config.json</t>
  </si>
  <si>
    <t>Android側サーバーURL、読取項目設定</t>
  </si>
  <si>
    <t>app/src/main/java/com/nfcreaderx/NfcBridgeActivity.kt</t>
  </si>
  <si>
    <t>WebView設定、NFC受信、PINダイアログ、JS bridge</t>
  </si>
  <si>
    <t>app/src/main/java/com/nfcreaderx/NfcConfig.kt</t>
  </si>
  <si>
    <t>設定ローダー、デフォルト収集設定</t>
  </si>
  <si>
    <t>app/src/main/java/com/nfcreaderx/nfc/MyNumberCardReader.kt</t>
  </si>
  <si>
    <t>マイナンバーカードAPDU読取仕様</t>
  </si>
  <si>
    <t>app/src/main/java/com/nfcreaderx/nfc/DriverLicenseReader.kt</t>
  </si>
  <si>
    <t>運転免許証APDU読取仕様</t>
  </si>
  <si>
    <t>app/src/main/java/com/nfcreaderx/data/model/CardData.kt</t>
  </si>
  <si>
    <t>読取結果データモデル</t>
  </si>
  <si>
    <t>Web側Bridge抽象化、PCモック</t>
  </si>
  <si>
    <t>laravel/routes/web.php</t>
  </si>
  <si>
    <t>ルーティング、認証要否</t>
  </si>
  <si>
    <t>laravel/app/Http/Controllers/Auth/LoginController.php</t>
  </si>
  <si>
    <t>ログイン/ログアウト仕様</t>
  </si>
  <si>
    <t>laravel/app/Http/Controllers/CardController.php</t>
  </si>
  <si>
    <t>カード登録、一覧、検索、me API</t>
  </si>
  <si>
    <t>laravel/app/Http/Controllers/ConfigController.php</t>
  </si>
  <si>
    <t>フィールド設定参照/更新</t>
  </si>
  <si>
    <t>laravel/app/Models/User.php</t>
  </si>
  <si>
    <t>ユーザーモデル、hidden/casts</t>
  </si>
  <si>
    <t>laravel/app/Models/CardRecord.php</t>
  </si>
  <si>
    <t>カード記録モデル、fillable</t>
  </si>
  <si>
    <t>laravel/app/Models/Setting.php</t>
  </si>
  <si>
    <t>設定モデル</t>
  </si>
  <si>
    <t>laravel/resources/views/auth/login.blade.php</t>
  </si>
  <si>
    <t>laravel/resources/views/scan.blade.php</t>
  </si>
  <si>
    <t>スキャン/確認画面、submit処理</t>
  </si>
  <si>
    <t>laravel/resources/views/records.blade.php</t>
  </si>
  <si>
    <t>一覧/検索/詳細モーダル</t>
  </si>
  <si>
    <t>laravel/config/session.php</t>
  </si>
  <si>
    <t>セッションドライバ、Cookie属性</t>
  </si>
  <si>
    <t>laravel/database/seeders/UserSeeder.php</t>
  </si>
  <si>
    <t>Laravel/PHP/OCI8依存関係</t>
  </si>
  <si>
    <t>Android SDK/依存関係/ビルド設定</t>
  </si>
  <si>
    <t>Kawai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</si>
</sst>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6"/>
      <color rgb="FF1F2937"/>
      <name val="Yu Gothic"/>
    </font>
    <font>
      <sz val="10"/>
      <color rgb="FF64748B"/>
      <name val="Yu Gothic"/>
    </font>
    <font>
      <sz val="9"/>
      <color rgb="FF1F2937"/>
      <name val="Yu Gothic"/>
    </font>
    <font>
      <b/>
      <sz val="12"/>
      <name val="Yu Gothic"/>
    </font>
    <font>
      <b/>
      <sz val="10"/>
      <color rgb="FF1F2937"/>
      <name val="Yu Gothic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3F8FC"/>
      </patternFill>
    </fill>
    <fill>
      <patternFill patternType="solid">
        <fgColor rgb="FFD9EAF7"/>
      </patternFill>
    </fill>
    <fill>
      <patternFill patternType="solid">
        <fgColor rgb="FFF7F8FA"/>
      </patternFill>
    </fill>
  </fills>
  <borders count="11">
    <border>
      <left/>
      <right/>
      <top/>
      <bottom/>
      <diagonal/>
    </border>
    <border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  <border>
      <left style="thin">
        <color rgb="FFC9D6E2"/>
      </left>
      <right/>
      <top style="thin">
        <color rgb="FFC9D6E2"/>
      </top>
      <bottom style="thin">
        <color rgb="FFC9D6E2"/>
      </bottom>
      <diagonal/>
    </border>
    <border>
      <left/>
      <right/>
      <top style="thin">
        <color rgb="FFC9D6E2"/>
      </top>
      <bottom style="thin">
        <color rgb="FFC9D6E2"/>
      </bottom>
      <diagonal/>
    </border>
    <border>
      <left/>
      <right style="thin">
        <color rgb="FFC9D6E2"/>
      </right>
      <top style="thin">
        <color rgb="FFC9D6E2"/>
      </top>
      <bottom style="thin">
        <color rgb="FFC9D6E2"/>
      </bottom>
      <diagonal/>
    </border>
    <border>
      <left style="thin">
        <color rgb="FFC9D6E2"/>
      </left>
      <right/>
      <top style="thin">
        <color rgb="FFC9D6E2"/>
      </top>
      <bottom/>
      <diagonal/>
    </border>
    <border>
      <left/>
      <right/>
      <top style="thin">
        <color rgb="FFC9D6E2"/>
      </top>
      <bottom/>
      <diagonal/>
    </border>
    <border>
      <left/>
      <right style="thin">
        <color rgb="FFC9D6E2"/>
      </right>
      <top style="thin">
        <color rgb="FFC9D6E2"/>
      </top>
      <bottom/>
      <diagonal/>
    </border>
    <border>
      <left style="thin">
        <color rgb="FFC9D6E2"/>
      </left>
      <right/>
      <top/>
      <bottom style="thin">
        <color rgb="FFC9D6E2"/>
      </bottom>
      <diagonal/>
    </border>
    <border>
      <left/>
      <right/>
      <top/>
      <bottom style="thin">
        <color rgb="FFC9D6E2"/>
      </bottom>
      <diagonal/>
    </border>
    <border>
      <left/>
      <right style="thin">
        <color rgb="FFC9D6E2"/>
      </right>
      <top/>
      <bottom style="thin">
        <color rgb="FFC9D6E2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0" borderId="1" xfId="1" applyFont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 wrapText="1"/>
    </xf>
    <xf numFmtId="0" fontId="2" fillId="0" borderId="0" xfId="1" applyFont="1" applyAlignment="1">
      <alignment vertical="top" wrapText="1"/>
    </xf>
    <xf numFmtId="0" fontId="4" fillId="3" borderId="2" xfId="1" applyFont="1" applyFill="1" applyBorder="1"/>
    <xf numFmtId="0" fontId="4" fillId="3" borderId="3" xfId="1" applyFont="1" applyFill="1" applyBorder="1"/>
    <xf numFmtId="0" fontId="4" fillId="3" borderId="4" xfId="1" applyFont="1" applyFill="1" applyBorder="1"/>
    <xf numFmtId="0" fontId="3" fillId="5" borderId="5" xfId="1" applyFont="1" applyFill="1" applyBorder="1" applyAlignment="1">
      <alignment vertical="top" wrapText="1"/>
    </xf>
    <xf numFmtId="0" fontId="3" fillId="5" borderId="6" xfId="1" applyFont="1" applyFill="1" applyBorder="1" applyAlignment="1">
      <alignment vertical="top" wrapText="1"/>
    </xf>
    <xf numFmtId="0" fontId="3" fillId="5" borderId="7" xfId="1" applyFont="1" applyFill="1" applyBorder="1" applyAlignment="1">
      <alignment vertical="top" wrapText="1"/>
    </xf>
    <xf numFmtId="0" fontId="3" fillId="5" borderId="8" xfId="1" applyFont="1" applyFill="1" applyBorder="1" applyAlignment="1">
      <alignment vertical="top" wrapText="1"/>
    </xf>
    <xf numFmtId="0" fontId="3" fillId="5" borderId="9" xfId="1" applyFont="1" applyFill="1" applyBorder="1" applyAlignment="1">
      <alignment vertical="top" wrapText="1"/>
    </xf>
    <xf numFmtId="0" fontId="3" fillId="5" borderId="10" xfId="1" applyFont="1" applyFill="1" applyBorder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4">
    <dxf>
      <font>
        <b/>
        <color rgb="FF7A4B00"/>
      </font>
      <fill>
        <patternFill patternType="solid">
          <bgColor rgb="FFFFF4CE"/>
        </patternFill>
      </fill>
    </dxf>
    <dxf>
      <font>
        <b/>
        <color rgb="FF9B1C1C"/>
      </font>
      <fill>
        <patternFill patternType="solid">
          <bgColor rgb="FFFDECEC"/>
        </patternFill>
      </fill>
    </dxf>
    <dxf>
      <font>
        <b/>
        <color rgb="FF7A4B00"/>
      </font>
      <fill>
        <patternFill patternType="solid">
          <bgColor rgb="FFFFF4CE"/>
        </patternFill>
      </fill>
    </dxf>
    <dxf>
      <font>
        <b/>
        <color rgb="FF9B1C1C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Normal="100" zoomScaleSheetLayoutView="100" workbookViewId="0">
      <selection activeCell="B22" sqref="B22"/>
    </sheetView>
  </sheetViews>
  <sheetFormatPr defaultRowHeight="15" x14ac:dyDescent="0.2"/>
  <cols>
    <col min="1" max="1" width="18.0234375" customWidth="1"/>
    <col min="2" max="2" width="37.93359375" customWidth="1"/>
    <col min="3" max="3" width="6.9921875" customWidth="1"/>
    <col min="4" max="4" width="29.99609375" customWidth="1"/>
    <col min="5" max="5" width="39.953125" customWidth="1"/>
    <col min="6" max="6" width="4.03515625" customWidth="1"/>
    <col min="7" max="7" width="16.0078125" customWidth="1"/>
    <col min="8" max="8" width="18.0234375" customWidth="1"/>
  </cols>
  <sheetData>
    <row r="1" spans="1:8" ht="33.950000000000003" customHeight="1" x14ac:dyDescent="0.2">
      <c r="A1" s="3" t="s">
        <v>0</v>
      </c>
      <c r="B1" s="3"/>
      <c r="C1" s="3"/>
      <c r="D1" s="3"/>
      <c r="E1" s="3"/>
      <c r="F1" s="3"/>
      <c r="G1" s="3"/>
      <c r="H1" s="3"/>
    </row>
    <row r="2" spans="1:8" ht="33.950000000000003" customHeight="1" x14ac:dyDescent="0.2">
      <c r="A2" s="4" t="s">
        <v>1</v>
      </c>
      <c r="B2" s="4"/>
      <c r="C2" s="4"/>
      <c r="D2" s="4"/>
      <c r="E2" s="4"/>
      <c r="F2" s="4"/>
      <c r="G2" s="4"/>
      <c r="H2" s="4"/>
    </row>
    <row r="4" spans="1:8" ht="38.1" customHeight="1" x14ac:dyDescent="0.2">
      <c r="A4" s="1" t="s">
        <v>2</v>
      </c>
      <c r="B4" s="1" t="s">
        <v>3</v>
      </c>
      <c r="C4" s="1"/>
      <c r="D4" s="1" t="s">
        <v>4</v>
      </c>
      <c r="E4" s="1" t="s">
        <v>5</v>
      </c>
      <c r="F4" s="1"/>
      <c r="G4" s="1" t="s">
        <v>6</v>
      </c>
      <c r="H4" s="1" t="s">
        <v>7</v>
      </c>
    </row>
    <row r="5" spans="1:8" ht="38.1" customHeight="1" x14ac:dyDescent="0.2">
      <c r="A5" s="1" t="s">
        <v>8</v>
      </c>
      <c r="B5" s="1" t="s">
        <v>9</v>
      </c>
      <c r="C5" s="1"/>
      <c r="D5" s="1" t="s">
        <v>10</v>
      </c>
      <c r="E5" s="1" t="s">
        <v>11</v>
      </c>
      <c r="F5" s="1"/>
      <c r="G5" s="1" t="s">
        <v>12</v>
      </c>
      <c r="H5" s="1" t="s">
        <v>13</v>
      </c>
    </row>
    <row r="6" spans="1:8" ht="38.1" customHeight="1" x14ac:dyDescent="0.2">
      <c r="A6" s="1" t="s">
        <v>14</v>
      </c>
      <c r="B6" s="1" t="s">
        <v>15</v>
      </c>
      <c r="C6" s="1"/>
      <c r="D6" s="1" t="s">
        <v>16</v>
      </c>
      <c r="E6" s="1" t="s">
        <v>17</v>
      </c>
      <c r="F6" s="1"/>
      <c r="G6" s="1" t="s">
        <v>18</v>
      </c>
      <c r="H6" s="1" t="s">
        <v>19</v>
      </c>
    </row>
    <row r="8" spans="1:8" ht="16.5" x14ac:dyDescent="0.25">
      <c r="A8" s="5" t="s">
        <v>20</v>
      </c>
      <c r="B8" s="6"/>
      <c r="C8" s="6"/>
      <c r="D8" s="6"/>
      <c r="E8" s="6"/>
      <c r="F8" s="6"/>
      <c r="G8" s="6"/>
      <c r="H8" s="7"/>
    </row>
    <row r="9" spans="1:8" ht="24" x14ac:dyDescent="0.2">
      <c r="A9" s="1" t="s">
        <v>21</v>
      </c>
      <c r="B9" s="1">
        <f>COUNTA('04_画面仕様'!A5:A50)</f>
        <v>7</v>
      </c>
      <c r="C9" s="1" t="s">
        <v>22</v>
      </c>
      <c r="D9" s="1" t="s">
        <v>23</v>
      </c>
      <c r="E9" s="1"/>
      <c r="F9" s="1"/>
      <c r="G9" s="1"/>
      <c r="H9" s="1"/>
    </row>
    <row r="10" spans="1:8" x14ac:dyDescent="0.2">
      <c r="A10" s="1" t="s">
        <v>24</v>
      </c>
      <c r="B10" s="1">
        <f>COUNTA('03_機能仕様'!A5:A80)</f>
        <v>20</v>
      </c>
      <c r="C10" s="1" t="s">
        <v>22</v>
      </c>
      <c r="D10" s="1" t="s">
        <v>25</v>
      </c>
      <c r="E10" s="1"/>
      <c r="F10" s="1"/>
      <c r="G10" s="1"/>
      <c r="H10" s="1"/>
    </row>
    <row r="11" spans="1:8" ht="24" x14ac:dyDescent="0.2">
      <c r="A11" s="1" t="s">
        <v>26</v>
      </c>
      <c r="B11" s="1">
        <f>COUNTA('05_API仕様'!A5:A50)</f>
        <v>10</v>
      </c>
      <c r="C11" s="1" t="s">
        <v>22</v>
      </c>
      <c r="D11" s="1" t="s">
        <v>27</v>
      </c>
      <c r="E11" s="1"/>
      <c r="F11" s="1"/>
      <c r="G11" s="1"/>
      <c r="H11" s="1"/>
    </row>
    <row r="12" spans="1:8" x14ac:dyDescent="0.2">
      <c r="A12" s="1" t="s">
        <v>28</v>
      </c>
      <c r="B12" s="1">
        <f>COUNTA('06_DB仕様'!A5:A120)</f>
        <v>25</v>
      </c>
      <c r="C12" s="1" t="s">
        <v>22</v>
      </c>
      <c r="D12" s="1" t="s">
        <v>29</v>
      </c>
      <c r="E12" s="1"/>
      <c r="F12" s="1"/>
      <c r="G12" s="1"/>
      <c r="H12" s="1"/>
    </row>
    <row r="13" spans="1:8" x14ac:dyDescent="0.2">
      <c r="A13" s="1" t="s">
        <v>30</v>
      </c>
      <c r="B13" s="1">
        <f>COUNTA('11_課題確認'!A5:A80)</f>
        <v>10</v>
      </c>
      <c r="C13" s="1" t="s">
        <v>22</v>
      </c>
      <c r="D13" s="1" t="s">
        <v>31</v>
      </c>
      <c r="E13" s="1"/>
      <c r="F13" s="1"/>
      <c r="G13" s="1"/>
      <c r="H13" s="1"/>
    </row>
    <row r="15" spans="1:8" ht="16.5" x14ac:dyDescent="0.25">
      <c r="A15" s="5" t="s">
        <v>32</v>
      </c>
      <c r="B15" s="6"/>
      <c r="C15" s="6"/>
      <c r="D15" s="6"/>
      <c r="E15" s="6"/>
      <c r="F15" s="6"/>
      <c r="G15" s="6"/>
      <c r="H15" s="7"/>
    </row>
    <row r="16" spans="1:8" x14ac:dyDescent="0.2">
      <c r="A16" s="2" t="s">
        <v>33</v>
      </c>
      <c r="B16" s="2" t="s">
        <v>34</v>
      </c>
    </row>
    <row r="17" spans="1:8" x14ac:dyDescent="0.2">
      <c r="A17" s="1" t="s">
        <v>35</v>
      </c>
      <c r="B17" s="1" t="s">
        <v>36</v>
      </c>
    </row>
    <row r="18" spans="1:8" x14ac:dyDescent="0.2">
      <c r="A18" s="1" t="s">
        <v>37</v>
      </c>
      <c r="B18" s="1" t="s">
        <v>38</v>
      </c>
    </row>
    <row r="19" spans="1:8" x14ac:dyDescent="0.2">
      <c r="A19" s="1" t="s">
        <v>39</v>
      </c>
      <c r="B19" s="1" t="s">
        <v>40</v>
      </c>
    </row>
    <row r="20" spans="1:8" x14ac:dyDescent="0.2">
      <c r="A20" s="1" t="s">
        <v>41</v>
      </c>
      <c r="B20" s="1" t="s">
        <v>42</v>
      </c>
    </row>
    <row r="21" spans="1:8" x14ac:dyDescent="0.2">
      <c r="A21" s="1" t="s">
        <v>43</v>
      </c>
      <c r="B21" s="1" t="s">
        <v>44</v>
      </c>
    </row>
    <row r="22" spans="1:8" x14ac:dyDescent="0.2">
      <c r="A22" s="1" t="s">
        <v>45</v>
      </c>
      <c r="B22" s="1" t="s">
        <v>46</v>
      </c>
    </row>
    <row r="23" spans="1:8" x14ac:dyDescent="0.2">
      <c r="A23" s="1" t="s">
        <v>47</v>
      </c>
      <c r="B23" s="1" t="s">
        <v>48</v>
      </c>
    </row>
    <row r="24" spans="1:8" x14ac:dyDescent="0.2">
      <c r="A24" s="1" t="s">
        <v>49</v>
      </c>
      <c r="B24" s="1" t="s">
        <v>50</v>
      </c>
    </row>
    <row r="25" spans="1:8" x14ac:dyDescent="0.2">
      <c r="A25" s="1" t="s">
        <v>51</v>
      </c>
      <c r="B25" s="1" t="s">
        <v>52</v>
      </c>
    </row>
    <row r="26" spans="1:8" x14ac:dyDescent="0.2">
      <c r="A26" s="1" t="s">
        <v>53</v>
      </c>
      <c r="B26" s="1" t="s">
        <v>54</v>
      </c>
    </row>
    <row r="27" spans="1:8" x14ac:dyDescent="0.2">
      <c r="A27" s="1" t="s">
        <v>55</v>
      </c>
      <c r="B27" s="1" t="s">
        <v>56</v>
      </c>
    </row>
    <row r="28" spans="1:8" x14ac:dyDescent="0.2">
      <c r="A28" s="1" t="s">
        <v>57</v>
      </c>
      <c r="B28" s="1" t="s">
        <v>58</v>
      </c>
    </row>
    <row r="29" spans="1:8" x14ac:dyDescent="0.2">
      <c r="A29" s="1" t="s">
        <v>59</v>
      </c>
      <c r="B29" s="1" t="s">
        <v>60</v>
      </c>
    </row>
    <row r="31" spans="1:8" ht="16.5" x14ac:dyDescent="0.25">
      <c r="A31" s="5" t="s">
        <v>61</v>
      </c>
      <c r="B31" s="6"/>
      <c r="C31" s="6"/>
      <c r="D31" s="6"/>
      <c r="E31" s="6"/>
      <c r="F31" s="6"/>
      <c r="G31" s="6"/>
      <c r="H31" s="7"/>
    </row>
    <row r="32" spans="1:8" ht="39" x14ac:dyDescent="0.2">
      <c r="A32" s="2" t="s">
        <v>8</v>
      </c>
      <c r="B32" s="2" t="s">
        <v>62</v>
      </c>
      <c r="C32" s="2" t="s">
        <v>63</v>
      </c>
      <c r="D32" s="2" t="s">
        <v>64</v>
      </c>
      <c r="E32" s="2" t="s">
        <v>65</v>
      </c>
      <c r="F32" s="2" t="s">
        <v>66</v>
      </c>
      <c r="G32" s="2" t="s">
        <v>67</v>
      </c>
      <c r="H32" s="2"/>
    </row>
    <row r="33" spans="1:8" ht="33.950000000000003" customHeight="1" x14ac:dyDescent="0.2">
      <c r="A33" s="1" t="s">
        <v>9</v>
      </c>
      <c r="B33" s="1" t="s">
        <v>11</v>
      </c>
      <c r="C33" s="1" t="s">
        <v>68</v>
      </c>
      <c r="D33" s="1" t="s">
        <v>69</v>
      </c>
      <c r="E33" s="1" t="s">
        <v>912</v>
      </c>
      <c r="F33" s="1"/>
      <c r="G33" s="1" t="s">
        <v>19</v>
      </c>
      <c r="H33" s="1"/>
    </row>
  </sheetData>
  <mergeCells count="5">
    <mergeCell ref="A1:H1"/>
    <mergeCell ref="A2:H2"/>
    <mergeCell ref="A8:H8"/>
    <mergeCell ref="A15:H15"/>
    <mergeCell ref="A31:H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zoomScaleSheetLayoutView="100" workbookViewId="0"/>
  </sheetViews>
  <sheetFormatPr defaultRowHeight="15" x14ac:dyDescent="0.2"/>
  <cols>
    <col min="1" max="1" width="18.0234375" customWidth="1"/>
    <col min="2" max="2" width="53.94140625" customWidth="1"/>
    <col min="3" max="3" width="41.96875" customWidth="1"/>
    <col min="4" max="4" width="22.05859375" customWidth="1"/>
    <col min="5" max="5" width="62.015625" customWidth="1"/>
  </cols>
  <sheetData>
    <row r="1" spans="1:5" ht="27.95" customHeight="1" x14ac:dyDescent="0.2">
      <c r="A1" s="3" t="s">
        <v>70</v>
      </c>
      <c r="B1" s="3"/>
      <c r="C1" s="3"/>
      <c r="D1" s="3"/>
      <c r="E1" s="3"/>
    </row>
    <row r="2" spans="1:5" ht="27.95" customHeight="1" x14ac:dyDescent="0.2">
      <c r="A2" s="4" t="s">
        <v>71</v>
      </c>
      <c r="B2" s="4"/>
      <c r="C2" s="4"/>
      <c r="D2" s="4"/>
      <c r="E2" s="4"/>
    </row>
    <row r="4" spans="1:5" ht="32.1" customHeight="1" x14ac:dyDescent="0.2">
      <c r="A4" s="2" t="s">
        <v>63</v>
      </c>
      <c r="B4" s="2" t="s">
        <v>34</v>
      </c>
      <c r="C4" s="2" t="s">
        <v>72</v>
      </c>
      <c r="D4" s="2" t="s">
        <v>73</v>
      </c>
      <c r="E4" s="2" t="s">
        <v>74</v>
      </c>
    </row>
    <row r="5" spans="1:5" ht="48" customHeight="1" x14ac:dyDescent="0.2">
      <c r="A5" s="1" t="s">
        <v>75</v>
      </c>
      <c r="B5" s="1" t="s">
        <v>76</v>
      </c>
      <c r="C5" s="1" t="s">
        <v>77</v>
      </c>
      <c r="D5" s="1" t="s">
        <v>78</v>
      </c>
      <c r="E5" s="1" t="s">
        <v>79</v>
      </c>
    </row>
    <row r="6" spans="1:5" ht="48" customHeight="1" x14ac:dyDescent="0.2">
      <c r="A6" s="1" t="s">
        <v>80</v>
      </c>
      <c r="B6" s="1" t="s">
        <v>81</v>
      </c>
      <c r="C6" s="1" t="s">
        <v>82</v>
      </c>
      <c r="D6" s="1" t="s">
        <v>83</v>
      </c>
      <c r="E6" s="1" t="s">
        <v>79</v>
      </c>
    </row>
    <row r="7" spans="1:5" ht="48" customHeight="1" x14ac:dyDescent="0.2">
      <c r="A7" s="1" t="s">
        <v>84</v>
      </c>
      <c r="B7" s="1" t="s">
        <v>85</v>
      </c>
      <c r="C7" s="1" t="s">
        <v>86</v>
      </c>
      <c r="D7" s="1" t="s">
        <v>87</v>
      </c>
      <c r="E7" s="1" t="s">
        <v>79</v>
      </c>
    </row>
    <row r="8" spans="1:5" ht="48" customHeight="1" x14ac:dyDescent="0.2">
      <c r="A8" s="1" t="s">
        <v>88</v>
      </c>
      <c r="B8" s="1" t="s">
        <v>89</v>
      </c>
      <c r="C8" s="1" t="s">
        <v>90</v>
      </c>
      <c r="D8" s="1" t="s">
        <v>91</v>
      </c>
      <c r="E8" s="1" t="s">
        <v>92</v>
      </c>
    </row>
    <row r="9" spans="1:5" ht="48" customHeight="1" x14ac:dyDescent="0.2">
      <c r="A9" s="1" t="s">
        <v>93</v>
      </c>
      <c r="B9" s="1" t="s">
        <v>94</v>
      </c>
      <c r="C9" s="1" t="s">
        <v>95</v>
      </c>
      <c r="D9" s="1" t="s">
        <v>96</v>
      </c>
      <c r="E9" s="1" t="s">
        <v>79</v>
      </c>
    </row>
    <row r="10" spans="1:5" ht="48" customHeight="1" x14ac:dyDescent="0.2">
      <c r="A10" s="1" t="s">
        <v>97</v>
      </c>
      <c r="B10" s="1" t="s">
        <v>98</v>
      </c>
      <c r="C10" s="1" t="s">
        <v>99</v>
      </c>
      <c r="D10" s="1" t="s">
        <v>100</v>
      </c>
      <c r="E10" s="1" t="s">
        <v>101</v>
      </c>
    </row>
    <row r="11" spans="1:5" ht="48" customHeight="1" x14ac:dyDescent="0.2">
      <c r="A11" s="1" t="s">
        <v>102</v>
      </c>
      <c r="B11" s="1" t="s">
        <v>103</v>
      </c>
      <c r="C11" s="1" t="s">
        <v>104</v>
      </c>
      <c r="D11" s="1" t="s">
        <v>105</v>
      </c>
      <c r="E11" s="1" t="s">
        <v>106</v>
      </c>
    </row>
    <row r="12" spans="1:5" ht="48" customHeight="1" x14ac:dyDescent="0.2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111</v>
      </c>
    </row>
    <row r="13" spans="1:5" ht="48" customHeight="1" x14ac:dyDescent="0.2">
      <c r="A13" s="1" t="s">
        <v>112</v>
      </c>
      <c r="B13" s="1" t="s">
        <v>113</v>
      </c>
      <c r="C13" s="1" t="s">
        <v>114</v>
      </c>
      <c r="D13" s="1" t="s">
        <v>115</v>
      </c>
      <c r="E13" s="1" t="s">
        <v>79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20.04296875" customWidth="1"/>
    <col min="3" max="3" width="25.9609375" customWidth="1"/>
    <col min="4" max="4" width="55.9609375" customWidth="1"/>
    <col min="5" max="6" width="27.98046875" customWidth="1"/>
    <col min="7" max="7" width="62.015625" customWidth="1"/>
  </cols>
  <sheetData>
    <row r="1" spans="1:7" ht="27.95" customHeight="1" x14ac:dyDescent="0.2">
      <c r="A1" s="3" t="s">
        <v>116</v>
      </c>
      <c r="B1" s="3"/>
      <c r="C1" s="3"/>
      <c r="D1" s="3"/>
      <c r="E1" s="3"/>
      <c r="F1" s="3"/>
      <c r="G1" s="3"/>
    </row>
    <row r="2" spans="1:7" ht="27.95" customHeight="1" x14ac:dyDescent="0.2">
      <c r="A2" s="4" t="s">
        <v>117</v>
      </c>
      <c r="B2" s="4"/>
      <c r="C2" s="4"/>
      <c r="D2" s="4"/>
      <c r="E2" s="4"/>
      <c r="F2" s="4"/>
      <c r="G2" s="4"/>
    </row>
    <row r="4" spans="1:7" ht="32.1" customHeight="1" x14ac:dyDescent="0.2">
      <c r="A4" s="2" t="s">
        <v>118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74</v>
      </c>
    </row>
    <row r="5" spans="1:7" ht="48" customHeight="1" x14ac:dyDescent="0.2">
      <c r="A5" s="1" t="s">
        <v>124</v>
      </c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</row>
    <row r="6" spans="1:7" ht="48" customHeight="1" x14ac:dyDescent="0.2">
      <c r="A6" s="1" t="s">
        <v>131</v>
      </c>
      <c r="B6" s="1" t="s">
        <v>132</v>
      </c>
      <c r="C6" s="1" t="s">
        <v>133</v>
      </c>
      <c r="D6" s="1" t="s">
        <v>134</v>
      </c>
      <c r="E6" s="1" t="s">
        <v>135</v>
      </c>
      <c r="F6" s="1" t="s">
        <v>136</v>
      </c>
      <c r="G6" s="1" t="s">
        <v>137</v>
      </c>
    </row>
    <row r="7" spans="1:7" ht="48" customHeight="1" x14ac:dyDescent="0.2">
      <c r="A7" s="1" t="s">
        <v>138</v>
      </c>
      <c r="B7" s="1" t="s">
        <v>139</v>
      </c>
      <c r="C7" s="1" t="s">
        <v>100</v>
      </c>
      <c r="D7" s="1" t="s">
        <v>140</v>
      </c>
      <c r="E7" s="1" t="s">
        <v>141</v>
      </c>
      <c r="F7" s="1" t="s">
        <v>142</v>
      </c>
      <c r="G7" s="1" t="s">
        <v>101</v>
      </c>
    </row>
    <row r="8" spans="1:7" ht="48" customHeight="1" x14ac:dyDescent="0.2">
      <c r="A8" s="1" t="s">
        <v>143</v>
      </c>
      <c r="B8" s="1" t="s">
        <v>144</v>
      </c>
      <c r="C8" s="1" t="s">
        <v>145</v>
      </c>
      <c r="D8" s="1" t="s">
        <v>146</v>
      </c>
      <c r="E8" s="1" t="s">
        <v>147</v>
      </c>
      <c r="F8" s="1" t="s">
        <v>145</v>
      </c>
      <c r="G8" s="1" t="s">
        <v>92</v>
      </c>
    </row>
    <row r="9" spans="1:7" ht="48" customHeight="1" x14ac:dyDescent="0.2">
      <c r="A9" s="1" t="s">
        <v>148</v>
      </c>
      <c r="B9" s="1" t="s">
        <v>149</v>
      </c>
      <c r="C9" s="1" t="s">
        <v>150</v>
      </c>
      <c r="D9" s="1" t="s">
        <v>151</v>
      </c>
      <c r="E9" s="1" t="s">
        <v>147</v>
      </c>
      <c r="F9" s="1" t="s">
        <v>152</v>
      </c>
      <c r="G9" s="1" t="s">
        <v>153</v>
      </c>
    </row>
    <row r="10" spans="1:7" ht="48" customHeight="1" x14ac:dyDescent="0.2">
      <c r="A10" s="1" t="s">
        <v>154</v>
      </c>
      <c r="B10" s="1" t="s">
        <v>155</v>
      </c>
      <c r="C10" s="1" t="s">
        <v>156</v>
      </c>
      <c r="D10" s="1" t="s">
        <v>157</v>
      </c>
      <c r="E10" s="1" t="s">
        <v>158</v>
      </c>
      <c r="F10" s="1" t="s">
        <v>159</v>
      </c>
      <c r="G10" s="1" t="s">
        <v>160</v>
      </c>
    </row>
    <row r="11" spans="1:7" ht="48" customHeight="1" x14ac:dyDescent="0.2">
      <c r="A11" s="1" t="s">
        <v>161</v>
      </c>
      <c r="B11" s="1" t="s">
        <v>162</v>
      </c>
      <c r="C11" s="1" t="s">
        <v>163</v>
      </c>
      <c r="D11" s="1" t="s">
        <v>164</v>
      </c>
      <c r="E11" s="1" t="s">
        <v>165</v>
      </c>
      <c r="F11" s="1" t="s">
        <v>166</v>
      </c>
      <c r="G11" s="1" t="s">
        <v>167</v>
      </c>
    </row>
    <row r="13" spans="1:7" ht="42" customHeight="1" x14ac:dyDescent="0.2">
      <c r="A13" s="8" t="s">
        <v>168</v>
      </c>
      <c r="B13" s="9"/>
      <c r="C13" s="9"/>
      <c r="D13" s="9"/>
      <c r="E13" s="9"/>
      <c r="F13" s="9"/>
      <c r="G13" s="10"/>
    </row>
    <row r="14" spans="1:7" ht="42" customHeight="1" x14ac:dyDescent="0.2">
      <c r="A14" s="11"/>
      <c r="B14" s="12"/>
      <c r="C14" s="12"/>
      <c r="D14" s="12"/>
      <c r="E14" s="12"/>
      <c r="F14" s="12"/>
      <c r="G14" s="13"/>
    </row>
    <row r="15" spans="1:7" x14ac:dyDescent="0.2">
      <c r="A15" s="2" t="s">
        <v>169</v>
      </c>
      <c r="B15" s="2" t="s">
        <v>170</v>
      </c>
      <c r="C15" s="2" t="s">
        <v>171</v>
      </c>
      <c r="D15" s="2" t="s">
        <v>172</v>
      </c>
      <c r="E15" s="2" t="s">
        <v>173</v>
      </c>
      <c r="F15" s="2" t="s">
        <v>67</v>
      </c>
    </row>
    <row r="16" spans="1:7" ht="42" customHeight="1" x14ac:dyDescent="0.2">
      <c r="A16" s="1" t="s">
        <v>174</v>
      </c>
      <c r="B16" s="1" t="s">
        <v>175</v>
      </c>
      <c r="C16" s="1" t="s">
        <v>125</v>
      </c>
      <c r="D16" s="1" t="s">
        <v>176</v>
      </c>
      <c r="E16" s="1" t="s">
        <v>177</v>
      </c>
      <c r="F16" s="1" t="s">
        <v>178</v>
      </c>
    </row>
    <row r="17" spans="1:6" ht="42" customHeight="1" x14ac:dyDescent="0.2">
      <c r="A17" s="1" t="s">
        <v>179</v>
      </c>
      <c r="B17" s="1" t="s">
        <v>180</v>
      </c>
      <c r="C17" s="1" t="s">
        <v>181</v>
      </c>
      <c r="D17" s="1" t="s">
        <v>182</v>
      </c>
      <c r="E17" s="1" t="s">
        <v>183</v>
      </c>
      <c r="F17" s="1" t="s">
        <v>184</v>
      </c>
    </row>
    <row r="18" spans="1:6" ht="42" customHeight="1" x14ac:dyDescent="0.2">
      <c r="A18" s="1" t="s">
        <v>185</v>
      </c>
      <c r="B18" s="1" t="s">
        <v>186</v>
      </c>
      <c r="C18" s="1" t="s">
        <v>187</v>
      </c>
      <c r="D18" s="1" t="s">
        <v>188</v>
      </c>
      <c r="E18" s="1" t="s">
        <v>189</v>
      </c>
      <c r="F18" s="1" t="s">
        <v>190</v>
      </c>
    </row>
    <row r="19" spans="1:6" ht="42" customHeight="1" x14ac:dyDescent="0.2">
      <c r="A19" s="1" t="s">
        <v>191</v>
      </c>
      <c r="B19" s="1" t="s">
        <v>192</v>
      </c>
      <c r="C19" s="1" t="s">
        <v>193</v>
      </c>
      <c r="D19" s="1" t="s">
        <v>194</v>
      </c>
      <c r="E19" s="1" t="s">
        <v>195</v>
      </c>
      <c r="F19" s="1" t="s">
        <v>196</v>
      </c>
    </row>
    <row r="20" spans="1:6" ht="42" customHeight="1" x14ac:dyDescent="0.2">
      <c r="A20" s="1" t="s">
        <v>197</v>
      </c>
      <c r="B20" s="1" t="s">
        <v>198</v>
      </c>
      <c r="C20" s="1" t="s">
        <v>199</v>
      </c>
      <c r="D20" s="1" t="s">
        <v>200</v>
      </c>
      <c r="E20" s="1" t="s">
        <v>201</v>
      </c>
      <c r="F20" s="1" t="s">
        <v>202</v>
      </c>
    </row>
    <row r="21" spans="1:6" ht="42" customHeight="1" x14ac:dyDescent="0.2">
      <c r="A21" s="1" t="s">
        <v>203</v>
      </c>
      <c r="B21" s="1" t="s">
        <v>204</v>
      </c>
      <c r="C21" s="1" t="s">
        <v>132</v>
      </c>
      <c r="D21" s="1" t="s">
        <v>201</v>
      </c>
      <c r="E21" s="1" t="s">
        <v>205</v>
      </c>
      <c r="F21" s="1" t="s">
        <v>206</v>
      </c>
    </row>
    <row r="22" spans="1:6" ht="42" customHeight="1" x14ac:dyDescent="0.2">
      <c r="A22" s="1" t="s">
        <v>207</v>
      </c>
      <c r="B22" s="1" t="s">
        <v>208</v>
      </c>
      <c r="C22" s="1" t="s">
        <v>209</v>
      </c>
      <c r="D22" s="1" t="s">
        <v>210</v>
      </c>
      <c r="E22" s="1" t="s">
        <v>211</v>
      </c>
      <c r="F22" s="1" t="s">
        <v>212</v>
      </c>
    </row>
    <row r="23" spans="1:6" ht="42" customHeight="1" x14ac:dyDescent="0.2">
      <c r="A23" s="1" t="s">
        <v>213</v>
      </c>
      <c r="B23" s="1" t="s">
        <v>214</v>
      </c>
      <c r="C23" s="1" t="s">
        <v>215</v>
      </c>
      <c r="D23" s="1" t="s">
        <v>216</v>
      </c>
      <c r="E23" s="1" t="s">
        <v>217</v>
      </c>
      <c r="F23" s="1" t="s">
        <v>218</v>
      </c>
    </row>
  </sheetData>
  <mergeCells count="3">
    <mergeCell ref="A1:G1"/>
    <mergeCell ref="A2:G2"/>
    <mergeCell ref="A13:G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13.98828125" customWidth="1"/>
    <col min="3" max="3" width="22.05859375" customWidth="1"/>
    <col min="4" max="4" width="18.0234375" customWidth="1"/>
    <col min="5" max="5" width="32.015625" customWidth="1"/>
    <col min="6" max="6" width="57.9765625" customWidth="1"/>
    <col min="7" max="7" width="48.0234375" customWidth="1"/>
    <col min="8" max="8" width="11.97265625" customWidth="1"/>
    <col min="9" max="9" width="62.015625" customWidth="1"/>
  </cols>
  <sheetData>
    <row r="1" spans="1:9" ht="27.95" customHeight="1" x14ac:dyDescent="0.2">
      <c r="A1" s="3" t="s">
        <v>219</v>
      </c>
      <c r="B1" s="3"/>
      <c r="C1" s="3"/>
      <c r="D1" s="3"/>
      <c r="E1" s="3"/>
      <c r="F1" s="3"/>
      <c r="G1" s="3"/>
      <c r="H1" s="3"/>
      <c r="I1" s="3"/>
    </row>
    <row r="2" spans="1:9" ht="27.95" customHeight="1" x14ac:dyDescent="0.2">
      <c r="A2" s="4" t="s">
        <v>220</v>
      </c>
      <c r="B2" s="4"/>
      <c r="C2" s="4"/>
      <c r="D2" s="4"/>
      <c r="E2" s="4"/>
      <c r="F2" s="4"/>
      <c r="G2" s="4"/>
      <c r="H2" s="4"/>
      <c r="I2" s="4"/>
    </row>
    <row r="4" spans="1:9" ht="32.1" customHeight="1" x14ac:dyDescent="0.2">
      <c r="A4" s="2" t="s">
        <v>221</v>
      </c>
      <c r="B4" s="2" t="s">
        <v>222</v>
      </c>
      <c r="C4" s="2" t="s">
        <v>223</v>
      </c>
      <c r="D4" s="2" t="s">
        <v>171</v>
      </c>
      <c r="E4" s="2" t="s">
        <v>172</v>
      </c>
      <c r="F4" s="2" t="s">
        <v>224</v>
      </c>
      <c r="G4" s="2" t="s">
        <v>225</v>
      </c>
      <c r="H4" s="2" t="s">
        <v>226</v>
      </c>
      <c r="I4" s="2" t="s">
        <v>74</v>
      </c>
    </row>
    <row r="5" spans="1:9" ht="48" customHeight="1" x14ac:dyDescent="0.2">
      <c r="A5" s="1" t="s">
        <v>227</v>
      </c>
      <c r="B5" s="1" t="s">
        <v>97</v>
      </c>
      <c r="C5" s="1" t="s">
        <v>180</v>
      </c>
      <c r="D5" s="1" t="s">
        <v>228</v>
      </c>
      <c r="E5" s="1" t="s">
        <v>182</v>
      </c>
      <c r="F5" s="1" t="s">
        <v>229</v>
      </c>
      <c r="G5" s="1" t="s">
        <v>230</v>
      </c>
      <c r="H5" s="1" t="s">
        <v>231</v>
      </c>
      <c r="I5" s="1" t="s">
        <v>101</v>
      </c>
    </row>
    <row r="6" spans="1:9" ht="48" customHeight="1" x14ac:dyDescent="0.2">
      <c r="A6" s="1" t="s">
        <v>232</v>
      </c>
      <c r="B6" s="1" t="s">
        <v>97</v>
      </c>
      <c r="C6" s="1" t="s">
        <v>233</v>
      </c>
      <c r="D6" s="1" t="s">
        <v>228</v>
      </c>
      <c r="E6" s="1" t="s">
        <v>234</v>
      </c>
      <c r="F6" s="1" t="s">
        <v>235</v>
      </c>
      <c r="G6" s="1" t="s">
        <v>236</v>
      </c>
      <c r="H6" s="1" t="s">
        <v>231</v>
      </c>
      <c r="I6" s="1" t="s">
        <v>101</v>
      </c>
    </row>
    <row r="7" spans="1:9" ht="48" customHeight="1" x14ac:dyDescent="0.2">
      <c r="A7" s="1" t="s">
        <v>237</v>
      </c>
      <c r="B7" s="1" t="s">
        <v>97</v>
      </c>
      <c r="C7" s="1" t="s">
        <v>238</v>
      </c>
      <c r="D7" s="1" t="s">
        <v>239</v>
      </c>
      <c r="E7" s="1" t="s">
        <v>240</v>
      </c>
      <c r="F7" s="1" t="s">
        <v>241</v>
      </c>
      <c r="G7" s="1" t="s">
        <v>242</v>
      </c>
      <c r="H7" s="1" t="s">
        <v>243</v>
      </c>
      <c r="I7" s="1" t="s">
        <v>130</v>
      </c>
    </row>
    <row r="8" spans="1:9" ht="48" customHeight="1" x14ac:dyDescent="0.2">
      <c r="A8" s="1" t="s">
        <v>244</v>
      </c>
      <c r="B8" s="1" t="s">
        <v>245</v>
      </c>
      <c r="C8" s="1" t="s">
        <v>246</v>
      </c>
      <c r="D8" s="1" t="s">
        <v>228</v>
      </c>
      <c r="E8" s="1" t="s">
        <v>247</v>
      </c>
      <c r="F8" s="1" t="s">
        <v>248</v>
      </c>
      <c r="G8" s="1" t="s">
        <v>249</v>
      </c>
      <c r="H8" s="1" t="s">
        <v>243</v>
      </c>
      <c r="I8" s="1" t="s">
        <v>137</v>
      </c>
    </row>
    <row r="9" spans="1:9" ht="48" customHeight="1" x14ac:dyDescent="0.2">
      <c r="A9" s="1" t="s">
        <v>250</v>
      </c>
      <c r="B9" s="1" t="s">
        <v>251</v>
      </c>
      <c r="C9" s="1" t="s">
        <v>252</v>
      </c>
      <c r="D9" s="1" t="s">
        <v>253</v>
      </c>
      <c r="E9" s="1" t="s">
        <v>254</v>
      </c>
      <c r="F9" s="1" t="s">
        <v>255</v>
      </c>
      <c r="G9" s="1" t="s">
        <v>256</v>
      </c>
      <c r="H9" s="1" t="s">
        <v>231</v>
      </c>
      <c r="I9" s="1" t="s">
        <v>130</v>
      </c>
    </row>
    <row r="10" spans="1:9" ht="48" customHeight="1" x14ac:dyDescent="0.2">
      <c r="A10" s="1" t="s">
        <v>257</v>
      </c>
      <c r="B10" s="1" t="s">
        <v>251</v>
      </c>
      <c r="C10" s="1" t="s">
        <v>258</v>
      </c>
      <c r="D10" s="1" t="s">
        <v>253</v>
      </c>
      <c r="E10" s="1" t="s">
        <v>259</v>
      </c>
      <c r="F10" s="1" t="s">
        <v>260</v>
      </c>
      <c r="G10" s="1" t="s">
        <v>261</v>
      </c>
      <c r="H10" s="1" t="s">
        <v>231</v>
      </c>
      <c r="I10" s="1" t="s">
        <v>130</v>
      </c>
    </row>
    <row r="11" spans="1:9" ht="48" customHeight="1" x14ac:dyDescent="0.2">
      <c r="A11" s="1" t="s">
        <v>262</v>
      </c>
      <c r="B11" s="1" t="s">
        <v>251</v>
      </c>
      <c r="C11" s="1" t="s">
        <v>192</v>
      </c>
      <c r="D11" s="1" t="s">
        <v>263</v>
      </c>
      <c r="E11" s="1" t="s">
        <v>264</v>
      </c>
      <c r="F11" s="1" t="s">
        <v>265</v>
      </c>
      <c r="G11" s="1" t="s">
        <v>266</v>
      </c>
      <c r="H11" s="1" t="s">
        <v>231</v>
      </c>
      <c r="I11" s="1" t="s">
        <v>130</v>
      </c>
    </row>
    <row r="12" spans="1:9" ht="48" customHeight="1" x14ac:dyDescent="0.2">
      <c r="A12" s="1" t="s">
        <v>267</v>
      </c>
      <c r="B12" s="1" t="s">
        <v>251</v>
      </c>
      <c r="C12" s="1" t="s">
        <v>268</v>
      </c>
      <c r="D12" s="1" t="s">
        <v>253</v>
      </c>
      <c r="E12" s="1" t="s">
        <v>269</v>
      </c>
      <c r="F12" s="1" t="s">
        <v>270</v>
      </c>
      <c r="G12" s="1" t="s">
        <v>271</v>
      </c>
      <c r="H12" s="1" t="s">
        <v>231</v>
      </c>
      <c r="I12" s="1" t="s">
        <v>272</v>
      </c>
    </row>
    <row r="13" spans="1:9" ht="48" customHeight="1" x14ac:dyDescent="0.2">
      <c r="A13" s="1" t="s">
        <v>273</v>
      </c>
      <c r="B13" s="1" t="s">
        <v>251</v>
      </c>
      <c r="C13" s="1" t="s">
        <v>274</v>
      </c>
      <c r="D13" s="1" t="s">
        <v>253</v>
      </c>
      <c r="E13" s="1" t="s">
        <v>269</v>
      </c>
      <c r="F13" s="1" t="s">
        <v>275</v>
      </c>
      <c r="G13" s="1" t="s">
        <v>276</v>
      </c>
      <c r="H13" s="1" t="s">
        <v>231</v>
      </c>
      <c r="I13" s="1" t="s">
        <v>277</v>
      </c>
    </row>
    <row r="14" spans="1:9" ht="48" customHeight="1" x14ac:dyDescent="0.2">
      <c r="A14" s="1" t="s">
        <v>278</v>
      </c>
      <c r="B14" s="1" t="s">
        <v>279</v>
      </c>
      <c r="C14" s="1" t="s">
        <v>280</v>
      </c>
      <c r="D14" s="1" t="s">
        <v>281</v>
      </c>
      <c r="E14" s="1" t="s">
        <v>163</v>
      </c>
      <c r="F14" s="1" t="s">
        <v>282</v>
      </c>
      <c r="G14" s="1" t="s">
        <v>283</v>
      </c>
      <c r="H14" s="1" t="s">
        <v>231</v>
      </c>
      <c r="I14" s="1" t="s">
        <v>284</v>
      </c>
    </row>
    <row r="15" spans="1:9" ht="48" customHeight="1" x14ac:dyDescent="0.2">
      <c r="A15" s="1" t="s">
        <v>285</v>
      </c>
      <c r="B15" s="1" t="s">
        <v>286</v>
      </c>
      <c r="C15" s="1" t="s">
        <v>287</v>
      </c>
      <c r="D15" s="1" t="s">
        <v>228</v>
      </c>
      <c r="E15" s="1" t="s">
        <v>201</v>
      </c>
      <c r="F15" s="1" t="s">
        <v>288</v>
      </c>
      <c r="G15" s="1" t="s">
        <v>289</v>
      </c>
      <c r="H15" s="1" t="s">
        <v>231</v>
      </c>
      <c r="I15" s="1" t="s">
        <v>137</v>
      </c>
    </row>
    <row r="16" spans="1:9" ht="48" customHeight="1" x14ac:dyDescent="0.2">
      <c r="A16" s="1" t="s">
        <v>290</v>
      </c>
      <c r="B16" s="1" t="s">
        <v>291</v>
      </c>
      <c r="C16" s="1" t="s">
        <v>292</v>
      </c>
      <c r="D16" s="1" t="s">
        <v>228</v>
      </c>
      <c r="E16" s="1" t="s">
        <v>293</v>
      </c>
      <c r="F16" s="1" t="s">
        <v>294</v>
      </c>
      <c r="G16" s="1" t="s">
        <v>295</v>
      </c>
      <c r="H16" s="1" t="s">
        <v>231</v>
      </c>
      <c r="I16" s="1" t="s">
        <v>92</v>
      </c>
    </row>
    <row r="17" spans="1:9" ht="48" customHeight="1" x14ac:dyDescent="0.2">
      <c r="A17" s="1" t="s">
        <v>296</v>
      </c>
      <c r="B17" s="1" t="s">
        <v>297</v>
      </c>
      <c r="C17" s="1" t="s">
        <v>298</v>
      </c>
      <c r="D17" s="1" t="s">
        <v>228</v>
      </c>
      <c r="E17" s="1" t="s">
        <v>299</v>
      </c>
      <c r="F17" s="1" t="s">
        <v>300</v>
      </c>
      <c r="G17" s="1" t="s">
        <v>301</v>
      </c>
      <c r="H17" s="1" t="s">
        <v>231</v>
      </c>
      <c r="I17" s="1" t="s">
        <v>302</v>
      </c>
    </row>
    <row r="18" spans="1:9" ht="48" customHeight="1" x14ac:dyDescent="0.2">
      <c r="A18" s="1" t="s">
        <v>303</v>
      </c>
      <c r="B18" s="1" t="s">
        <v>297</v>
      </c>
      <c r="C18" s="1" t="s">
        <v>304</v>
      </c>
      <c r="D18" s="1" t="s">
        <v>228</v>
      </c>
      <c r="E18" s="1" t="s">
        <v>305</v>
      </c>
      <c r="F18" s="1" t="s">
        <v>306</v>
      </c>
      <c r="G18" s="1" t="s">
        <v>307</v>
      </c>
      <c r="H18" s="1" t="s">
        <v>243</v>
      </c>
      <c r="I18" s="1" t="s">
        <v>92</v>
      </c>
    </row>
    <row r="19" spans="1:9" ht="48" customHeight="1" x14ac:dyDescent="0.2">
      <c r="A19" s="1" t="s">
        <v>308</v>
      </c>
      <c r="B19" s="1" t="s">
        <v>309</v>
      </c>
      <c r="C19" s="1" t="s">
        <v>310</v>
      </c>
      <c r="D19" s="1" t="s">
        <v>181</v>
      </c>
      <c r="E19" s="1" t="s">
        <v>311</v>
      </c>
      <c r="F19" s="1" t="s">
        <v>312</v>
      </c>
      <c r="G19" s="1" t="s">
        <v>313</v>
      </c>
      <c r="H19" s="1" t="s">
        <v>231</v>
      </c>
      <c r="I19" s="1" t="s">
        <v>92</v>
      </c>
    </row>
    <row r="20" spans="1:9" ht="48" customHeight="1" x14ac:dyDescent="0.2">
      <c r="A20" s="1" t="s">
        <v>314</v>
      </c>
      <c r="B20" s="1" t="s">
        <v>315</v>
      </c>
      <c r="C20" s="1" t="s">
        <v>316</v>
      </c>
      <c r="D20" s="1" t="s">
        <v>132</v>
      </c>
      <c r="E20" s="1" t="s">
        <v>317</v>
      </c>
      <c r="F20" s="1" t="s">
        <v>318</v>
      </c>
      <c r="G20" s="1" t="s">
        <v>319</v>
      </c>
      <c r="H20" s="1" t="s">
        <v>243</v>
      </c>
      <c r="I20" s="1" t="s">
        <v>92</v>
      </c>
    </row>
    <row r="21" spans="1:9" ht="48" customHeight="1" x14ac:dyDescent="0.2">
      <c r="A21" s="1" t="s">
        <v>320</v>
      </c>
      <c r="B21" s="1" t="s">
        <v>279</v>
      </c>
      <c r="C21" s="1" t="s">
        <v>321</v>
      </c>
      <c r="D21" s="1" t="s">
        <v>322</v>
      </c>
      <c r="E21" s="1" t="s">
        <v>323</v>
      </c>
      <c r="F21" s="1" t="s">
        <v>324</v>
      </c>
      <c r="G21" s="1" t="s">
        <v>325</v>
      </c>
      <c r="H21" s="1" t="s">
        <v>231</v>
      </c>
      <c r="I21" s="1" t="s">
        <v>153</v>
      </c>
    </row>
    <row r="22" spans="1:9" ht="48" customHeight="1" x14ac:dyDescent="0.2">
      <c r="A22" s="1" t="s">
        <v>326</v>
      </c>
      <c r="B22" s="1" t="s">
        <v>327</v>
      </c>
      <c r="C22" s="1" t="s">
        <v>328</v>
      </c>
      <c r="D22" s="1" t="s">
        <v>329</v>
      </c>
      <c r="E22" s="1" t="s">
        <v>330</v>
      </c>
      <c r="F22" s="1" t="s">
        <v>331</v>
      </c>
      <c r="G22" s="1" t="s">
        <v>332</v>
      </c>
      <c r="H22" s="1" t="s">
        <v>333</v>
      </c>
      <c r="I22" s="1" t="s">
        <v>334</v>
      </c>
    </row>
    <row r="23" spans="1:9" ht="48" customHeight="1" x14ac:dyDescent="0.2">
      <c r="A23" s="1" t="s">
        <v>335</v>
      </c>
      <c r="B23" s="1" t="s">
        <v>336</v>
      </c>
      <c r="C23" s="1" t="s">
        <v>337</v>
      </c>
      <c r="D23" s="1" t="s">
        <v>125</v>
      </c>
      <c r="E23" s="1" t="s">
        <v>338</v>
      </c>
      <c r="F23" s="1" t="s">
        <v>339</v>
      </c>
      <c r="G23" s="1" t="s">
        <v>340</v>
      </c>
      <c r="H23" s="1" t="s">
        <v>231</v>
      </c>
      <c r="I23" s="1" t="s">
        <v>130</v>
      </c>
    </row>
    <row r="24" spans="1:9" ht="48" customHeight="1" x14ac:dyDescent="0.2">
      <c r="A24" s="1" t="s">
        <v>341</v>
      </c>
      <c r="B24" s="1" t="s">
        <v>342</v>
      </c>
      <c r="C24" s="1" t="s">
        <v>343</v>
      </c>
      <c r="D24" s="1" t="s">
        <v>281</v>
      </c>
      <c r="E24" s="1" t="s">
        <v>344</v>
      </c>
      <c r="F24" s="1" t="s">
        <v>345</v>
      </c>
      <c r="G24" s="1" t="s">
        <v>346</v>
      </c>
      <c r="H24" s="1" t="s">
        <v>243</v>
      </c>
      <c r="I24" s="1" t="s">
        <v>347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20.04296875" customWidth="1"/>
    <col min="3" max="3" width="22.05859375" customWidth="1"/>
    <col min="4" max="4" width="41.96875" customWidth="1"/>
    <col min="5" max="5" width="34.03125" customWidth="1"/>
    <col min="6" max="6" width="46.00390625" customWidth="1"/>
    <col min="7" max="7" width="41.96875" customWidth="1"/>
    <col min="8" max="8" width="62.015625" customWidth="1"/>
  </cols>
  <sheetData>
    <row r="1" spans="1:8" ht="27.95" customHeight="1" x14ac:dyDescent="0.2">
      <c r="A1" s="3" t="s">
        <v>348</v>
      </c>
      <c r="B1" s="3"/>
      <c r="C1" s="3"/>
      <c r="D1" s="3"/>
      <c r="E1" s="3"/>
      <c r="F1" s="3"/>
      <c r="G1" s="3"/>
      <c r="H1" s="3"/>
    </row>
    <row r="2" spans="1:8" ht="27.95" customHeight="1" x14ac:dyDescent="0.2">
      <c r="A2" s="4" t="s">
        <v>349</v>
      </c>
      <c r="B2" s="4"/>
      <c r="C2" s="4"/>
      <c r="D2" s="4"/>
      <c r="E2" s="4"/>
      <c r="F2" s="4"/>
      <c r="G2" s="4"/>
      <c r="H2" s="4"/>
    </row>
    <row r="4" spans="1:8" ht="32.1" customHeight="1" x14ac:dyDescent="0.2">
      <c r="A4" s="2" t="s">
        <v>350</v>
      </c>
      <c r="B4" s="2" t="s">
        <v>351</v>
      </c>
      <c r="C4" s="2" t="s">
        <v>352</v>
      </c>
      <c r="D4" s="2" t="s">
        <v>353</v>
      </c>
      <c r="E4" s="2" t="s">
        <v>354</v>
      </c>
      <c r="F4" s="2" t="s">
        <v>355</v>
      </c>
      <c r="G4" s="2" t="s">
        <v>72</v>
      </c>
      <c r="H4" s="2" t="s">
        <v>74</v>
      </c>
    </row>
    <row r="5" spans="1:8" ht="48" customHeight="1" x14ac:dyDescent="0.2">
      <c r="A5" s="1" t="s">
        <v>356</v>
      </c>
      <c r="B5" s="1" t="s">
        <v>357</v>
      </c>
      <c r="C5" s="1" t="s">
        <v>358</v>
      </c>
      <c r="D5" s="1" t="s">
        <v>359</v>
      </c>
      <c r="E5" s="1" t="s">
        <v>360</v>
      </c>
      <c r="F5" s="1" t="s">
        <v>361</v>
      </c>
      <c r="G5" s="1" t="s">
        <v>362</v>
      </c>
      <c r="H5" s="1" t="s">
        <v>363</v>
      </c>
    </row>
    <row r="6" spans="1:8" ht="48" customHeight="1" x14ac:dyDescent="0.2">
      <c r="A6" s="1" t="s">
        <v>364</v>
      </c>
      <c r="B6" s="1" t="s">
        <v>365</v>
      </c>
      <c r="C6" s="1" t="s">
        <v>366</v>
      </c>
      <c r="D6" s="1" t="s">
        <v>367</v>
      </c>
      <c r="E6" s="1" t="s">
        <v>368</v>
      </c>
      <c r="F6" s="1" t="s">
        <v>369</v>
      </c>
      <c r="G6" s="1" t="s">
        <v>370</v>
      </c>
      <c r="H6" s="1" t="s">
        <v>137</v>
      </c>
    </row>
    <row r="7" spans="1:8" ht="48" customHeight="1" x14ac:dyDescent="0.2">
      <c r="A7" s="1" t="s">
        <v>371</v>
      </c>
      <c r="B7" s="1" t="s">
        <v>372</v>
      </c>
      <c r="C7" s="1" t="s">
        <v>366</v>
      </c>
      <c r="D7" s="1" t="s">
        <v>373</v>
      </c>
      <c r="E7" s="1" t="s">
        <v>374</v>
      </c>
      <c r="F7" s="1" t="s">
        <v>375</v>
      </c>
      <c r="G7" s="1" t="s">
        <v>376</v>
      </c>
      <c r="H7" s="1" t="s">
        <v>137</v>
      </c>
    </row>
    <row r="8" spans="1:8" ht="48" customHeight="1" x14ac:dyDescent="0.2">
      <c r="A8" s="1" t="s">
        <v>377</v>
      </c>
      <c r="B8" s="1" t="s">
        <v>378</v>
      </c>
      <c r="C8" s="1" t="s">
        <v>366</v>
      </c>
      <c r="D8" s="1" t="s">
        <v>379</v>
      </c>
      <c r="E8" s="1" t="s">
        <v>380</v>
      </c>
      <c r="F8" s="1" t="s">
        <v>381</v>
      </c>
      <c r="G8" s="1" t="s">
        <v>382</v>
      </c>
      <c r="H8" s="1" t="s">
        <v>137</v>
      </c>
    </row>
    <row r="9" spans="1:8" ht="48" customHeight="1" x14ac:dyDescent="0.2">
      <c r="A9" s="1" t="s">
        <v>383</v>
      </c>
      <c r="B9" s="1" t="s">
        <v>384</v>
      </c>
      <c r="C9" s="1" t="s">
        <v>385</v>
      </c>
      <c r="D9" s="1" t="s">
        <v>386</v>
      </c>
      <c r="E9" s="1" t="s">
        <v>216</v>
      </c>
      <c r="F9" s="1" t="s">
        <v>387</v>
      </c>
      <c r="G9" s="1" t="s">
        <v>388</v>
      </c>
      <c r="H9" s="1" t="s">
        <v>302</v>
      </c>
    </row>
    <row r="10" spans="1:8" ht="48" customHeight="1" x14ac:dyDescent="0.2">
      <c r="A10" s="1" t="s">
        <v>389</v>
      </c>
      <c r="B10" s="1" t="s">
        <v>390</v>
      </c>
      <c r="C10" s="1" t="s">
        <v>385</v>
      </c>
      <c r="D10" s="1" t="s">
        <v>391</v>
      </c>
      <c r="E10" s="1" t="s">
        <v>392</v>
      </c>
      <c r="F10" s="1" t="s">
        <v>393</v>
      </c>
      <c r="G10" s="1" t="s">
        <v>394</v>
      </c>
      <c r="H10" s="1" t="s">
        <v>302</v>
      </c>
    </row>
    <row r="11" spans="1:8" ht="48" customHeight="1" x14ac:dyDescent="0.2">
      <c r="A11" s="1" t="s">
        <v>395</v>
      </c>
      <c r="B11" s="1" t="s">
        <v>396</v>
      </c>
      <c r="C11" s="1" t="s">
        <v>397</v>
      </c>
      <c r="D11" s="1" t="s">
        <v>398</v>
      </c>
      <c r="E11" s="1" t="s">
        <v>399</v>
      </c>
      <c r="F11" s="1" t="s">
        <v>400</v>
      </c>
      <c r="G11" s="1" t="s">
        <v>401</v>
      </c>
      <c r="H11" s="1" t="s">
        <v>130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9.953125" customWidth="1"/>
    <col min="3" max="3" width="22.05859375" customWidth="1"/>
    <col min="4" max="4" width="9.953125" customWidth="1"/>
    <col min="5" max="5" width="46.00390625" customWidth="1"/>
    <col min="6" max="7" width="29.99609375" customWidth="1"/>
    <col min="8" max="8" width="55.9609375" customWidth="1"/>
    <col min="9" max="9" width="62.015625" customWidth="1"/>
  </cols>
  <sheetData>
    <row r="1" spans="1:9" ht="27.95" customHeight="1" x14ac:dyDescent="0.2">
      <c r="A1" s="3" t="s">
        <v>402</v>
      </c>
      <c r="B1" s="3"/>
      <c r="C1" s="3"/>
      <c r="D1" s="3"/>
      <c r="E1" s="3"/>
      <c r="F1" s="3"/>
      <c r="G1" s="3"/>
      <c r="H1" s="3"/>
      <c r="I1" s="3"/>
    </row>
    <row r="2" spans="1:9" ht="27.95" customHeight="1" x14ac:dyDescent="0.2">
      <c r="A2" s="4" t="s">
        <v>403</v>
      </c>
      <c r="B2" s="4"/>
      <c r="C2" s="4"/>
      <c r="D2" s="4"/>
      <c r="E2" s="4"/>
      <c r="F2" s="4"/>
      <c r="G2" s="4"/>
      <c r="H2" s="4"/>
      <c r="I2" s="4"/>
    </row>
    <row r="4" spans="1:9" ht="32.1" customHeight="1" x14ac:dyDescent="0.2">
      <c r="A4" s="2" t="s">
        <v>404</v>
      </c>
      <c r="B4" s="2" t="s">
        <v>405</v>
      </c>
      <c r="C4" s="2" t="s">
        <v>406</v>
      </c>
      <c r="D4" s="2" t="s">
        <v>97</v>
      </c>
      <c r="E4" s="2" t="s">
        <v>407</v>
      </c>
      <c r="F4" s="2" t="s">
        <v>408</v>
      </c>
      <c r="G4" s="2" t="s">
        <v>409</v>
      </c>
      <c r="H4" s="2" t="s">
        <v>410</v>
      </c>
      <c r="I4" s="2" t="s">
        <v>74</v>
      </c>
    </row>
    <row r="5" spans="1:9" ht="48" customHeight="1" x14ac:dyDescent="0.2">
      <c r="A5" s="1" t="s">
        <v>411</v>
      </c>
      <c r="B5" s="1" t="s">
        <v>412</v>
      </c>
      <c r="C5" s="1" t="s">
        <v>358</v>
      </c>
      <c r="D5" s="1" t="s">
        <v>413</v>
      </c>
      <c r="E5" s="1" t="s">
        <v>414</v>
      </c>
      <c r="F5" s="1" t="s">
        <v>415</v>
      </c>
      <c r="G5" s="1" t="s">
        <v>416</v>
      </c>
      <c r="H5" s="1" t="s">
        <v>417</v>
      </c>
      <c r="I5" s="1" t="s">
        <v>418</v>
      </c>
    </row>
    <row r="6" spans="1:9" ht="48" customHeight="1" x14ac:dyDescent="0.2">
      <c r="A6" s="1" t="s">
        <v>419</v>
      </c>
      <c r="B6" s="1" t="s">
        <v>420</v>
      </c>
      <c r="C6" s="1" t="s">
        <v>358</v>
      </c>
      <c r="D6" s="1" t="s">
        <v>413</v>
      </c>
      <c r="E6" s="1" t="s">
        <v>421</v>
      </c>
      <c r="F6" s="1" t="s">
        <v>422</v>
      </c>
      <c r="G6" s="1" t="s">
        <v>423</v>
      </c>
      <c r="H6" s="1" t="s">
        <v>424</v>
      </c>
      <c r="I6" s="1" t="s">
        <v>101</v>
      </c>
    </row>
    <row r="7" spans="1:9" ht="48" customHeight="1" x14ac:dyDescent="0.2">
      <c r="A7" s="1" t="s">
        <v>425</v>
      </c>
      <c r="B7" s="1" t="s">
        <v>420</v>
      </c>
      <c r="C7" s="1" t="s">
        <v>426</v>
      </c>
      <c r="D7" s="1" t="s">
        <v>427</v>
      </c>
      <c r="E7" s="1" t="s">
        <v>428</v>
      </c>
      <c r="F7" s="1" t="s">
        <v>429</v>
      </c>
      <c r="G7" s="1" t="s">
        <v>430</v>
      </c>
      <c r="H7" s="1" t="s">
        <v>431</v>
      </c>
      <c r="I7" s="1" t="s">
        <v>101</v>
      </c>
    </row>
    <row r="8" spans="1:9" ht="48" customHeight="1" x14ac:dyDescent="0.2">
      <c r="A8" s="1" t="s">
        <v>432</v>
      </c>
      <c r="B8" s="1" t="s">
        <v>412</v>
      </c>
      <c r="C8" s="1" t="s">
        <v>366</v>
      </c>
      <c r="D8" s="1" t="s">
        <v>427</v>
      </c>
      <c r="E8" s="1" t="s">
        <v>414</v>
      </c>
      <c r="F8" s="1" t="s">
        <v>433</v>
      </c>
      <c r="G8" s="1" t="s">
        <v>434</v>
      </c>
      <c r="H8" s="1" t="s">
        <v>435</v>
      </c>
      <c r="I8" s="1" t="s">
        <v>418</v>
      </c>
    </row>
    <row r="9" spans="1:9" ht="48" customHeight="1" x14ac:dyDescent="0.2">
      <c r="A9" s="1" t="s">
        <v>436</v>
      </c>
      <c r="B9" s="1" t="s">
        <v>412</v>
      </c>
      <c r="C9" s="1" t="s">
        <v>385</v>
      </c>
      <c r="D9" s="1" t="s">
        <v>427</v>
      </c>
      <c r="E9" s="1" t="s">
        <v>414</v>
      </c>
      <c r="F9" s="1" t="s">
        <v>437</v>
      </c>
      <c r="G9" s="1" t="s">
        <v>434</v>
      </c>
      <c r="H9" s="1" t="s">
        <v>438</v>
      </c>
      <c r="I9" s="1" t="s">
        <v>418</v>
      </c>
    </row>
    <row r="10" spans="1:9" ht="48" customHeight="1" x14ac:dyDescent="0.2">
      <c r="A10" s="1" t="s">
        <v>439</v>
      </c>
      <c r="B10" s="1" t="s">
        <v>412</v>
      </c>
      <c r="C10" s="1" t="s">
        <v>440</v>
      </c>
      <c r="D10" s="1" t="s">
        <v>427</v>
      </c>
      <c r="E10" s="1" t="s">
        <v>414</v>
      </c>
      <c r="F10" s="1" t="s">
        <v>441</v>
      </c>
      <c r="G10" s="1" t="s">
        <v>442</v>
      </c>
      <c r="H10" s="1" t="s">
        <v>443</v>
      </c>
      <c r="I10" s="1" t="s">
        <v>92</v>
      </c>
    </row>
    <row r="11" spans="1:9" ht="48" customHeight="1" x14ac:dyDescent="0.2">
      <c r="A11" s="1" t="s">
        <v>444</v>
      </c>
      <c r="B11" s="1" t="s">
        <v>420</v>
      </c>
      <c r="C11" s="1" t="s">
        <v>445</v>
      </c>
      <c r="D11" s="1" t="s">
        <v>427</v>
      </c>
      <c r="E11" s="1" t="s">
        <v>446</v>
      </c>
      <c r="F11" s="1" t="s">
        <v>447</v>
      </c>
      <c r="G11" s="1" t="s">
        <v>448</v>
      </c>
      <c r="H11" s="1" t="s">
        <v>449</v>
      </c>
      <c r="I11" s="1" t="s">
        <v>92</v>
      </c>
    </row>
    <row r="12" spans="1:9" ht="48" customHeight="1" x14ac:dyDescent="0.2">
      <c r="A12" s="1" t="s">
        <v>450</v>
      </c>
      <c r="B12" s="1" t="s">
        <v>412</v>
      </c>
      <c r="C12" s="1" t="s">
        <v>451</v>
      </c>
      <c r="D12" s="1" t="s">
        <v>427</v>
      </c>
      <c r="E12" s="1" t="s">
        <v>452</v>
      </c>
      <c r="F12" s="1" t="s">
        <v>453</v>
      </c>
      <c r="G12" s="1" t="s">
        <v>454</v>
      </c>
      <c r="H12" s="1" t="s">
        <v>455</v>
      </c>
      <c r="I12" s="1" t="s">
        <v>92</v>
      </c>
    </row>
    <row r="13" spans="1:9" ht="48" customHeight="1" x14ac:dyDescent="0.2">
      <c r="A13" s="1" t="s">
        <v>456</v>
      </c>
      <c r="B13" s="1" t="s">
        <v>412</v>
      </c>
      <c r="C13" s="1" t="s">
        <v>457</v>
      </c>
      <c r="D13" s="1" t="s">
        <v>427</v>
      </c>
      <c r="E13" s="1" t="s">
        <v>414</v>
      </c>
      <c r="F13" s="1" t="s">
        <v>458</v>
      </c>
      <c r="G13" s="1" t="s">
        <v>459</v>
      </c>
      <c r="H13" s="1" t="s">
        <v>460</v>
      </c>
      <c r="I13" s="1" t="s">
        <v>153</v>
      </c>
    </row>
    <row r="14" spans="1:9" ht="48" customHeight="1" x14ac:dyDescent="0.2">
      <c r="A14" s="1" t="s">
        <v>461</v>
      </c>
      <c r="B14" s="1" t="s">
        <v>462</v>
      </c>
      <c r="C14" s="1" t="s">
        <v>457</v>
      </c>
      <c r="D14" s="1" t="s">
        <v>427</v>
      </c>
      <c r="E14" s="1" t="s">
        <v>463</v>
      </c>
      <c r="F14" s="1" t="s">
        <v>447</v>
      </c>
      <c r="G14" s="1" t="s">
        <v>464</v>
      </c>
      <c r="H14" s="1" t="s">
        <v>465</v>
      </c>
      <c r="I14" s="1" t="s">
        <v>153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zoomScaleNormal="100" zoomScaleSheetLayoutView="100" workbookViewId="0"/>
  </sheetViews>
  <sheetFormatPr defaultRowHeight="15" x14ac:dyDescent="0.2"/>
  <cols>
    <col min="1" max="1" width="18.0234375" customWidth="1"/>
    <col min="2" max="3" width="23.9453125" customWidth="1"/>
    <col min="4" max="4" width="9.953125" customWidth="1"/>
    <col min="5" max="5" width="16.0078125" customWidth="1"/>
    <col min="6" max="6" width="32.015625" customWidth="1"/>
    <col min="7" max="7" width="53.94140625" customWidth="1"/>
    <col min="8" max="8" width="62.015625" customWidth="1"/>
  </cols>
  <sheetData>
    <row r="1" spans="1:8" ht="27.95" customHeight="1" x14ac:dyDescent="0.2">
      <c r="A1" s="3" t="s">
        <v>466</v>
      </c>
      <c r="B1" s="3"/>
      <c r="C1" s="3"/>
      <c r="D1" s="3"/>
      <c r="E1" s="3"/>
      <c r="F1" s="3"/>
      <c r="G1" s="3"/>
      <c r="H1" s="3"/>
    </row>
    <row r="2" spans="1:8" ht="27.95" customHeight="1" x14ac:dyDescent="0.2">
      <c r="A2" s="4" t="s">
        <v>467</v>
      </c>
      <c r="B2" s="4"/>
      <c r="C2" s="4"/>
      <c r="D2" s="4"/>
      <c r="E2" s="4"/>
      <c r="F2" s="4"/>
      <c r="G2" s="4"/>
      <c r="H2" s="4"/>
    </row>
    <row r="4" spans="1:8" ht="32.1" customHeight="1" x14ac:dyDescent="0.2">
      <c r="A4" s="2" t="s">
        <v>468</v>
      </c>
      <c r="B4" s="2" t="s">
        <v>469</v>
      </c>
      <c r="C4" s="2" t="s">
        <v>470</v>
      </c>
      <c r="D4" s="2" t="s">
        <v>471</v>
      </c>
      <c r="E4" s="2" t="s">
        <v>472</v>
      </c>
      <c r="F4" s="2" t="s">
        <v>473</v>
      </c>
      <c r="G4" s="2" t="s">
        <v>474</v>
      </c>
      <c r="H4" s="2" t="s">
        <v>74</v>
      </c>
    </row>
    <row r="5" spans="1:8" ht="48" customHeight="1" x14ac:dyDescent="0.2">
      <c r="A5" s="1" t="s">
        <v>475</v>
      </c>
      <c r="B5" s="1" t="s">
        <v>476</v>
      </c>
      <c r="C5" s="1" t="s">
        <v>477</v>
      </c>
      <c r="D5" s="1" t="s">
        <v>478</v>
      </c>
      <c r="E5" s="1" t="s">
        <v>479</v>
      </c>
      <c r="F5" s="1" t="s">
        <v>480</v>
      </c>
      <c r="G5" s="1" t="s">
        <v>481</v>
      </c>
      <c r="H5" s="1" t="s">
        <v>482</v>
      </c>
    </row>
    <row r="6" spans="1:8" ht="48" customHeight="1" x14ac:dyDescent="0.2">
      <c r="A6" s="1" t="s">
        <v>475</v>
      </c>
      <c r="B6" s="1" t="s">
        <v>483</v>
      </c>
      <c r="C6" s="1" t="s">
        <v>484</v>
      </c>
      <c r="D6" s="1" t="s">
        <v>478</v>
      </c>
      <c r="E6" s="1" t="s">
        <v>485</v>
      </c>
      <c r="F6" s="1" t="s">
        <v>486</v>
      </c>
      <c r="G6" s="1" t="s">
        <v>487</v>
      </c>
      <c r="H6" s="1" t="s">
        <v>79</v>
      </c>
    </row>
    <row r="7" spans="1:8" ht="48" customHeight="1" x14ac:dyDescent="0.2">
      <c r="A7" s="1" t="s">
        <v>475</v>
      </c>
      <c r="B7" s="1" t="s">
        <v>488</v>
      </c>
      <c r="C7" s="1" t="s">
        <v>489</v>
      </c>
      <c r="D7" s="1" t="s">
        <v>478</v>
      </c>
      <c r="E7" s="1"/>
      <c r="F7" s="1" t="s">
        <v>490</v>
      </c>
      <c r="G7" s="1" t="s">
        <v>491</v>
      </c>
      <c r="H7" s="1" t="s">
        <v>79</v>
      </c>
    </row>
    <row r="8" spans="1:8" ht="48" customHeight="1" x14ac:dyDescent="0.2">
      <c r="A8" s="1" t="s">
        <v>475</v>
      </c>
      <c r="B8" s="1" t="s">
        <v>492</v>
      </c>
      <c r="C8" s="1" t="s">
        <v>484</v>
      </c>
      <c r="D8" s="1" t="s">
        <v>478</v>
      </c>
      <c r="E8" s="1"/>
      <c r="F8" s="1" t="s">
        <v>493</v>
      </c>
      <c r="G8" s="1" t="s">
        <v>494</v>
      </c>
      <c r="H8" s="1" t="s">
        <v>482</v>
      </c>
    </row>
    <row r="9" spans="1:8" ht="48" customHeight="1" x14ac:dyDescent="0.2">
      <c r="A9" s="1" t="s">
        <v>475</v>
      </c>
      <c r="B9" s="1" t="s">
        <v>495</v>
      </c>
      <c r="C9" s="1" t="s">
        <v>496</v>
      </c>
      <c r="D9" s="1" t="s">
        <v>478</v>
      </c>
      <c r="E9" s="1"/>
      <c r="F9" s="1" t="s">
        <v>497</v>
      </c>
      <c r="G9" s="1" t="s">
        <v>498</v>
      </c>
      <c r="H9" s="1" t="s">
        <v>101</v>
      </c>
    </row>
    <row r="10" spans="1:8" ht="48" customHeight="1" x14ac:dyDescent="0.2">
      <c r="A10" s="1" t="s">
        <v>475</v>
      </c>
      <c r="B10" s="1" t="s">
        <v>499</v>
      </c>
      <c r="C10" s="1" t="s">
        <v>500</v>
      </c>
      <c r="D10" s="1" t="s">
        <v>478</v>
      </c>
      <c r="E10" s="1"/>
      <c r="F10" s="1" t="s">
        <v>501</v>
      </c>
      <c r="G10" s="1" t="s">
        <v>502</v>
      </c>
      <c r="H10" s="1" t="s">
        <v>482</v>
      </c>
    </row>
    <row r="11" spans="1:8" ht="48" customHeight="1" x14ac:dyDescent="0.2">
      <c r="A11" s="1" t="s">
        <v>475</v>
      </c>
      <c r="B11" s="1" t="s">
        <v>503</v>
      </c>
      <c r="C11" s="1" t="s">
        <v>504</v>
      </c>
      <c r="D11" s="1" t="s">
        <v>505</v>
      </c>
      <c r="E11" s="1"/>
      <c r="F11" s="1" t="s">
        <v>506</v>
      </c>
      <c r="G11" s="1" t="s">
        <v>507</v>
      </c>
      <c r="H11" s="1" t="s">
        <v>482</v>
      </c>
    </row>
    <row r="12" spans="1:8" ht="48" customHeight="1" x14ac:dyDescent="0.2">
      <c r="A12" s="1" t="s">
        <v>508</v>
      </c>
      <c r="B12" s="1" t="s">
        <v>476</v>
      </c>
      <c r="C12" s="1" t="s">
        <v>477</v>
      </c>
      <c r="D12" s="1" t="s">
        <v>478</v>
      </c>
      <c r="E12" s="1" t="s">
        <v>479</v>
      </c>
      <c r="F12" s="1" t="s">
        <v>509</v>
      </c>
      <c r="G12" s="1" t="s">
        <v>510</v>
      </c>
      <c r="H12" s="1" t="s">
        <v>511</v>
      </c>
    </row>
    <row r="13" spans="1:8" ht="48" customHeight="1" x14ac:dyDescent="0.2">
      <c r="A13" s="1" t="s">
        <v>508</v>
      </c>
      <c r="B13" s="1" t="s">
        <v>512</v>
      </c>
      <c r="C13" s="1" t="s">
        <v>477</v>
      </c>
      <c r="D13" s="1" t="s">
        <v>478</v>
      </c>
      <c r="E13" s="1" t="s">
        <v>513</v>
      </c>
      <c r="F13" s="1" t="s">
        <v>514</v>
      </c>
      <c r="G13" s="1" t="s">
        <v>515</v>
      </c>
      <c r="H13" s="1" t="s">
        <v>92</v>
      </c>
    </row>
    <row r="14" spans="1:8" ht="48" customHeight="1" x14ac:dyDescent="0.2">
      <c r="A14" s="1" t="s">
        <v>508</v>
      </c>
      <c r="B14" s="1" t="s">
        <v>516</v>
      </c>
      <c r="C14" s="1" t="s">
        <v>504</v>
      </c>
      <c r="D14" s="1" t="s">
        <v>478</v>
      </c>
      <c r="E14" s="1"/>
      <c r="F14" s="1" t="s">
        <v>517</v>
      </c>
      <c r="G14" s="1" t="s">
        <v>518</v>
      </c>
      <c r="H14" s="1" t="s">
        <v>92</v>
      </c>
    </row>
    <row r="15" spans="1:8" ht="48" customHeight="1" x14ac:dyDescent="0.2">
      <c r="A15" s="1" t="s">
        <v>508</v>
      </c>
      <c r="B15" s="1" t="s">
        <v>488</v>
      </c>
      <c r="C15" s="1" t="s">
        <v>519</v>
      </c>
      <c r="D15" s="1" t="s">
        <v>478</v>
      </c>
      <c r="E15" s="1"/>
      <c r="F15" s="1" t="s">
        <v>490</v>
      </c>
      <c r="G15" s="1" t="s">
        <v>520</v>
      </c>
      <c r="H15" s="1" t="s">
        <v>92</v>
      </c>
    </row>
    <row r="16" spans="1:8" ht="48" customHeight="1" x14ac:dyDescent="0.2">
      <c r="A16" s="1" t="s">
        <v>508</v>
      </c>
      <c r="B16" s="1" t="s">
        <v>521</v>
      </c>
      <c r="C16" s="1" t="s">
        <v>519</v>
      </c>
      <c r="D16" s="1" t="s">
        <v>505</v>
      </c>
      <c r="E16" s="1"/>
      <c r="F16" s="1" t="s">
        <v>522</v>
      </c>
      <c r="G16" s="1" t="s">
        <v>523</v>
      </c>
      <c r="H16" s="1" t="s">
        <v>92</v>
      </c>
    </row>
    <row r="17" spans="1:8" ht="48" customHeight="1" x14ac:dyDescent="0.2">
      <c r="A17" s="1" t="s">
        <v>508</v>
      </c>
      <c r="B17" s="1" t="s">
        <v>524</v>
      </c>
      <c r="C17" s="1" t="s">
        <v>525</v>
      </c>
      <c r="D17" s="1" t="s">
        <v>478</v>
      </c>
      <c r="E17" s="1"/>
      <c r="F17" s="1" t="s">
        <v>526</v>
      </c>
      <c r="G17" s="1" t="s">
        <v>527</v>
      </c>
      <c r="H17" s="1" t="s">
        <v>92</v>
      </c>
    </row>
    <row r="18" spans="1:8" ht="48" customHeight="1" x14ac:dyDescent="0.2">
      <c r="A18" s="1" t="s">
        <v>508</v>
      </c>
      <c r="B18" s="1" t="s">
        <v>528</v>
      </c>
      <c r="C18" s="1" t="s">
        <v>529</v>
      </c>
      <c r="D18" s="1" t="s">
        <v>505</v>
      </c>
      <c r="E18" s="1"/>
      <c r="F18" s="1" t="s">
        <v>530</v>
      </c>
      <c r="G18" s="1" t="s">
        <v>531</v>
      </c>
      <c r="H18" s="1" t="s">
        <v>92</v>
      </c>
    </row>
    <row r="19" spans="1:8" ht="48" customHeight="1" x14ac:dyDescent="0.2">
      <c r="A19" s="1" t="s">
        <v>508</v>
      </c>
      <c r="B19" s="1" t="s">
        <v>532</v>
      </c>
      <c r="C19" s="1" t="s">
        <v>533</v>
      </c>
      <c r="D19" s="1" t="s">
        <v>505</v>
      </c>
      <c r="E19" s="1"/>
      <c r="F19" s="1" t="s">
        <v>534</v>
      </c>
      <c r="G19" s="1" t="s">
        <v>535</v>
      </c>
      <c r="H19" s="1" t="s">
        <v>92</v>
      </c>
    </row>
    <row r="20" spans="1:8" ht="48" customHeight="1" x14ac:dyDescent="0.2">
      <c r="A20" s="1" t="s">
        <v>508</v>
      </c>
      <c r="B20" s="1" t="s">
        <v>536</v>
      </c>
      <c r="C20" s="1" t="s">
        <v>525</v>
      </c>
      <c r="D20" s="1" t="s">
        <v>505</v>
      </c>
      <c r="E20" s="1"/>
      <c r="F20" s="1" t="s">
        <v>537</v>
      </c>
      <c r="G20" s="1" t="s">
        <v>538</v>
      </c>
      <c r="H20" s="1" t="s">
        <v>92</v>
      </c>
    </row>
    <row r="21" spans="1:8" ht="48" customHeight="1" x14ac:dyDescent="0.2">
      <c r="A21" s="1" t="s">
        <v>508</v>
      </c>
      <c r="B21" s="1" t="s">
        <v>539</v>
      </c>
      <c r="C21" s="1" t="s">
        <v>519</v>
      </c>
      <c r="D21" s="1" t="s">
        <v>505</v>
      </c>
      <c r="E21" s="1"/>
      <c r="F21" s="1" t="s">
        <v>540</v>
      </c>
      <c r="G21" s="1" t="s">
        <v>541</v>
      </c>
      <c r="H21" s="1" t="s">
        <v>92</v>
      </c>
    </row>
    <row r="22" spans="1:8" ht="48" customHeight="1" x14ac:dyDescent="0.2">
      <c r="A22" s="1" t="s">
        <v>508</v>
      </c>
      <c r="B22" s="1" t="s">
        <v>542</v>
      </c>
      <c r="C22" s="1" t="s">
        <v>543</v>
      </c>
      <c r="D22" s="1" t="s">
        <v>478</v>
      </c>
      <c r="E22" s="1"/>
      <c r="F22" s="1" t="s">
        <v>544</v>
      </c>
      <c r="G22" s="1" t="s">
        <v>545</v>
      </c>
      <c r="H22" s="1" t="s">
        <v>92</v>
      </c>
    </row>
    <row r="23" spans="1:8" ht="48" customHeight="1" x14ac:dyDescent="0.2">
      <c r="A23" s="1" t="s">
        <v>508</v>
      </c>
      <c r="B23" s="1" t="s">
        <v>546</v>
      </c>
      <c r="C23" s="1" t="s">
        <v>547</v>
      </c>
      <c r="D23" s="1" t="s">
        <v>548</v>
      </c>
      <c r="E23" s="1" t="s">
        <v>548</v>
      </c>
      <c r="F23" s="1" t="s">
        <v>549</v>
      </c>
      <c r="G23" s="1" t="s">
        <v>550</v>
      </c>
      <c r="H23" s="1" t="s">
        <v>511</v>
      </c>
    </row>
    <row r="24" spans="1:8" ht="48" customHeight="1" x14ac:dyDescent="0.2">
      <c r="A24" s="1" t="s">
        <v>508</v>
      </c>
      <c r="B24" s="1" t="s">
        <v>551</v>
      </c>
      <c r="C24" s="1" t="s">
        <v>547</v>
      </c>
      <c r="D24" s="1" t="s">
        <v>548</v>
      </c>
      <c r="E24" s="1" t="s">
        <v>548</v>
      </c>
      <c r="F24" s="1" t="s">
        <v>552</v>
      </c>
      <c r="G24" s="1" t="s">
        <v>550</v>
      </c>
      <c r="H24" s="1" t="s">
        <v>511</v>
      </c>
    </row>
    <row r="25" spans="1:8" ht="48" customHeight="1" x14ac:dyDescent="0.2">
      <c r="A25" s="1" t="s">
        <v>553</v>
      </c>
      <c r="B25" s="1" t="s">
        <v>476</v>
      </c>
      <c r="C25" s="1" t="s">
        <v>477</v>
      </c>
      <c r="D25" s="1" t="s">
        <v>478</v>
      </c>
      <c r="E25" s="1" t="s">
        <v>479</v>
      </c>
      <c r="F25" s="1" t="s">
        <v>554</v>
      </c>
      <c r="G25" s="1" t="s">
        <v>510</v>
      </c>
      <c r="H25" s="1" t="s">
        <v>555</v>
      </c>
    </row>
    <row r="26" spans="1:8" ht="48" customHeight="1" x14ac:dyDescent="0.2">
      <c r="A26" s="1" t="s">
        <v>553</v>
      </c>
      <c r="B26" s="1" t="s">
        <v>556</v>
      </c>
      <c r="C26" s="1" t="s">
        <v>504</v>
      </c>
      <c r="D26" s="1" t="s">
        <v>478</v>
      </c>
      <c r="E26" s="1" t="s">
        <v>557</v>
      </c>
      <c r="F26" s="1" t="s">
        <v>558</v>
      </c>
      <c r="G26" s="1" t="s">
        <v>559</v>
      </c>
      <c r="H26" s="1" t="s">
        <v>555</v>
      </c>
    </row>
    <row r="27" spans="1:8" ht="48" customHeight="1" x14ac:dyDescent="0.2">
      <c r="A27" s="1" t="s">
        <v>553</v>
      </c>
      <c r="B27" s="1" t="s">
        <v>560</v>
      </c>
      <c r="C27" s="1" t="s">
        <v>504</v>
      </c>
      <c r="D27" s="1" t="s">
        <v>478</v>
      </c>
      <c r="E27" s="1"/>
      <c r="F27" s="1" t="s">
        <v>561</v>
      </c>
      <c r="G27" s="1" t="s">
        <v>562</v>
      </c>
      <c r="H27" s="1" t="s">
        <v>153</v>
      </c>
    </row>
    <row r="28" spans="1:8" ht="48" customHeight="1" x14ac:dyDescent="0.2">
      <c r="A28" s="1" t="s">
        <v>553</v>
      </c>
      <c r="B28" s="1" t="s">
        <v>563</v>
      </c>
      <c r="C28" s="1" t="s">
        <v>564</v>
      </c>
      <c r="D28" s="1" t="s">
        <v>505</v>
      </c>
      <c r="E28" s="1"/>
      <c r="F28" s="1" t="s">
        <v>565</v>
      </c>
      <c r="G28" s="1" t="s">
        <v>566</v>
      </c>
      <c r="H28" s="1" t="s">
        <v>153</v>
      </c>
    </row>
    <row r="29" spans="1:8" ht="48" customHeight="1" x14ac:dyDescent="0.2">
      <c r="A29" s="1" t="s">
        <v>567</v>
      </c>
      <c r="B29" s="1" t="s">
        <v>476</v>
      </c>
      <c r="C29" s="1" t="s">
        <v>504</v>
      </c>
      <c r="D29" s="1" t="s">
        <v>478</v>
      </c>
      <c r="E29" s="1" t="s">
        <v>479</v>
      </c>
      <c r="F29" s="1" t="s">
        <v>568</v>
      </c>
      <c r="G29" s="1" t="s">
        <v>569</v>
      </c>
      <c r="H29" s="1" t="s">
        <v>570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20.04296875" customWidth="1"/>
    <col min="3" max="3" width="71.96875" customWidth="1"/>
    <col min="4" max="4" width="23.9453125" customWidth="1"/>
    <col min="5" max="5" width="32.015625" customWidth="1"/>
    <col min="6" max="6" width="62.015625" customWidth="1"/>
  </cols>
  <sheetData>
    <row r="1" spans="1:6" ht="27.95" customHeight="1" x14ac:dyDescent="0.2">
      <c r="A1" s="3" t="s">
        <v>571</v>
      </c>
      <c r="B1" s="3"/>
      <c r="C1" s="3"/>
      <c r="D1" s="3"/>
      <c r="E1" s="3"/>
      <c r="F1" s="3"/>
    </row>
    <row r="2" spans="1:6" ht="27.95" customHeight="1" x14ac:dyDescent="0.2">
      <c r="A2" s="4" t="s">
        <v>572</v>
      </c>
      <c r="B2" s="4"/>
      <c r="C2" s="4"/>
      <c r="D2" s="4"/>
      <c r="E2" s="4"/>
      <c r="F2" s="4"/>
    </row>
    <row r="4" spans="1:6" ht="32.1" customHeight="1" x14ac:dyDescent="0.2">
      <c r="A4" s="2" t="s">
        <v>118</v>
      </c>
      <c r="B4" s="2" t="s">
        <v>63</v>
      </c>
      <c r="C4" s="2" t="s">
        <v>224</v>
      </c>
      <c r="D4" s="2" t="s">
        <v>573</v>
      </c>
      <c r="E4" s="2" t="s">
        <v>574</v>
      </c>
      <c r="F4" s="2" t="s">
        <v>74</v>
      </c>
    </row>
    <row r="5" spans="1:6" ht="48" customHeight="1" x14ac:dyDescent="0.2">
      <c r="A5" s="1" t="s">
        <v>575</v>
      </c>
      <c r="B5" s="1" t="s">
        <v>576</v>
      </c>
      <c r="C5" s="1" t="s">
        <v>577</v>
      </c>
      <c r="D5" s="1" t="s">
        <v>578</v>
      </c>
      <c r="E5" s="1" t="s">
        <v>579</v>
      </c>
      <c r="F5" s="1" t="s">
        <v>580</v>
      </c>
    </row>
    <row r="6" spans="1:6" ht="48" customHeight="1" x14ac:dyDescent="0.2">
      <c r="A6" s="1" t="s">
        <v>581</v>
      </c>
      <c r="B6" s="1" t="s">
        <v>582</v>
      </c>
      <c r="C6" s="1" t="s">
        <v>583</v>
      </c>
      <c r="D6" s="1" t="s">
        <v>584</v>
      </c>
      <c r="E6" s="1" t="s">
        <v>585</v>
      </c>
      <c r="F6" s="1" t="s">
        <v>580</v>
      </c>
    </row>
    <row r="7" spans="1:6" ht="48" customHeight="1" x14ac:dyDescent="0.2">
      <c r="A7" s="1" t="s">
        <v>586</v>
      </c>
      <c r="B7" s="1" t="s">
        <v>309</v>
      </c>
      <c r="C7" s="1" t="s">
        <v>587</v>
      </c>
      <c r="D7" s="1" t="s">
        <v>588</v>
      </c>
      <c r="E7" s="1" t="s">
        <v>589</v>
      </c>
      <c r="F7" s="1" t="s">
        <v>590</v>
      </c>
    </row>
    <row r="8" spans="1:6" ht="48" customHeight="1" x14ac:dyDescent="0.2">
      <c r="A8" s="1" t="s">
        <v>591</v>
      </c>
      <c r="B8" s="1" t="s">
        <v>592</v>
      </c>
      <c r="C8" s="1" t="s">
        <v>593</v>
      </c>
      <c r="D8" s="1" t="s">
        <v>594</v>
      </c>
      <c r="E8" s="1" t="s">
        <v>589</v>
      </c>
      <c r="F8" s="1" t="s">
        <v>590</v>
      </c>
    </row>
    <row r="9" spans="1:6" ht="48" customHeight="1" x14ac:dyDescent="0.2">
      <c r="A9" s="1" t="s">
        <v>595</v>
      </c>
      <c r="B9" s="1" t="s">
        <v>338</v>
      </c>
      <c r="C9" s="1" t="s">
        <v>596</v>
      </c>
      <c r="D9" s="1" t="s">
        <v>597</v>
      </c>
      <c r="E9" s="1" t="s">
        <v>598</v>
      </c>
      <c r="F9" s="1" t="s">
        <v>130</v>
      </c>
    </row>
    <row r="10" spans="1:6" ht="48" customHeight="1" x14ac:dyDescent="0.2">
      <c r="A10" s="1" t="s">
        <v>599</v>
      </c>
      <c r="B10" s="1" t="s">
        <v>240</v>
      </c>
      <c r="C10" s="1" t="s">
        <v>600</v>
      </c>
      <c r="D10" s="1" t="s">
        <v>601</v>
      </c>
      <c r="E10" s="1" t="s">
        <v>598</v>
      </c>
      <c r="F10" s="1" t="s">
        <v>130</v>
      </c>
    </row>
    <row r="11" spans="1:6" ht="48" customHeight="1" x14ac:dyDescent="0.2">
      <c r="A11" s="1" t="s">
        <v>602</v>
      </c>
      <c r="B11" s="1" t="s">
        <v>603</v>
      </c>
      <c r="C11" s="1" t="s">
        <v>604</v>
      </c>
      <c r="D11" s="1" t="s">
        <v>605</v>
      </c>
      <c r="E11" s="1" t="s">
        <v>606</v>
      </c>
      <c r="F11" s="1" t="s">
        <v>130</v>
      </c>
    </row>
    <row r="12" spans="1:6" ht="48" customHeight="1" x14ac:dyDescent="0.2">
      <c r="A12" s="1" t="s">
        <v>607</v>
      </c>
      <c r="B12" s="1" t="s">
        <v>608</v>
      </c>
      <c r="C12" s="1" t="s">
        <v>609</v>
      </c>
      <c r="D12" s="1" t="s">
        <v>610</v>
      </c>
      <c r="E12" s="1" t="s">
        <v>606</v>
      </c>
      <c r="F12" s="1" t="s">
        <v>130</v>
      </c>
    </row>
    <row r="13" spans="1:6" ht="48" customHeight="1" x14ac:dyDescent="0.2">
      <c r="A13" s="1" t="s">
        <v>611</v>
      </c>
      <c r="B13" s="1" t="s">
        <v>612</v>
      </c>
      <c r="C13" s="1" t="s">
        <v>613</v>
      </c>
      <c r="D13" s="1" t="s">
        <v>614</v>
      </c>
      <c r="E13" s="1" t="s">
        <v>598</v>
      </c>
      <c r="F13" s="1" t="s">
        <v>130</v>
      </c>
    </row>
    <row r="14" spans="1:6" ht="48" customHeight="1" x14ac:dyDescent="0.2">
      <c r="A14" s="1" t="s">
        <v>615</v>
      </c>
      <c r="B14" s="1" t="s">
        <v>616</v>
      </c>
      <c r="C14" s="1" t="s">
        <v>617</v>
      </c>
      <c r="D14" s="1" t="s">
        <v>618</v>
      </c>
      <c r="E14" s="1" t="s">
        <v>619</v>
      </c>
      <c r="F14" s="1" t="s">
        <v>272</v>
      </c>
    </row>
    <row r="15" spans="1:6" ht="48" customHeight="1" x14ac:dyDescent="0.2">
      <c r="A15" s="1" t="s">
        <v>620</v>
      </c>
      <c r="B15" s="1" t="s">
        <v>621</v>
      </c>
      <c r="C15" s="1" t="s">
        <v>622</v>
      </c>
      <c r="D15" s="1" t="s">
        <v>618</v>
      </c>
      <c r="E15" s="1" t="s">
        <v>623</v>
      </c>
      <c r="F15" s="1" t="s">
        <v>277</v>
      </c>
    </row>
    <row r="16" spans="1:6" ht="48" customHeight="1" x14ac:dyDescent="0.2">
      <c r="A16" s="1" t="s">
        <v>624</v>
      </c>
      <c r="B16" s="1" t="s">
        <v>625</v>
      </c>
      <c r="C16" s="1" t="s">
        <v>626</v>
      </c>
      <c r="D16" s="1" t="s">
        <v>627</v>
      </c>
      <c r="E16" s="1" t="s">
        <v>628</v>
      </c>
      <c r="F16" s="1" t="s">
        <v>106</v>
      </c>
    </row>
    <row r="17" spans="1:6" ht="48" customHeight="1" x14ac:dyDescent="0.2">
      <c r="A17" s="1" t="s">
        <v>629</v>
      </c>
      <c r="B17" s="1" t="s">
        <v>630</v>
      </c>
      <c r="C17" s="1" t="s">
        <v>631</v>
      </c>
      <c r="D17" s="1" t="s">
        <v>165</v>
      </c>
      <c r="E17" s="1" t="s">
        <v>632</v>
      </c>
      <c r="F17" s="1" t="s">
        <v>167</v>
      </c>
    </row>
    <row r="18" spans="1:6" ht="48" customHeight="1" x14ac:dyDescent="0.2">
      <c r="A18" s="1" t="s">
        <v>633</v>
      </c>
      <c r="B18" s="1" t="s">
        <v>634</v>
      </c>
      <c r="C18" s="1" t="s">
        <v>635</v>
      </c>
      <c r="D18" s="1" t="s">
        <v>636</v>
      </c>
      <c r="E18" s="1" t="s">
        <v>637</v>
      </c>
      <c r="F18" s="1" t="s">
        <v>334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20.04296875" customWidth="1"/>
    <col min="3" max="3" width="57.9765625" customWidth="1"/>
    <col min="4" max="4" width="18.0234375" customWidth="1"/>
    <col min="5" max="5" width="57.9765625" customWidth="1"/>
    <col min="6" max="6" width="11.97265625" customWidth="1"/>
    <col min="7" max="7" width="62.015625" customWidth="1"/>
  </cols>
  <sheetData>
    <row r="1" spans="1:7" ht="27.95" customHeight="1" x14ac:dyDescent="0.2">
      <c r="A1" s="3" t="s">
        <v>638</v>
      </c>
      <c r="B1" s="3"/>
      <c r="C1" s="3"/>
      <c r="D1" s="3"/>
      <c r="E1" s="3"/>
      <c r="F1" s="3"/>
      <c r="G1" s="3"/>
    </row>
    <row r="2" spans="1:7" ht="27.95" customHeight="1" x14ac:dyDescent="0.2">
      <c r="A2" s="4" t="s">
        <v>639</v>
      </c>
      <c r="B2" s="4"/>
      <c r="C2" s="4"/>
      <c r="D2" s="4"/>
      <c r="E2" s="4"/>
      <c r="F2" s="4"/>
      <c r="G2" s="4"/>
    </row>
    <row r="4" spans="1:7" ht="32.1" customHeight="1" x14ac:dyDescent="0.2">
      <c r="A4" s="2" t="s">
        <v>118</v>
      </c>
      <c r="B4" s="2" t="s">
        <v>640</v>
      </c>
      <c r="C4" s="2" t="s">
        <v>641</v>
      </c>
      <c r="D4" s="2" t="s">
        <v>18</v>
      </c>
      <c r="E4" s="2" t="s">
        <v>642</v>
      </c>
      <c r="F4" s="2" t="s">
        <v>643</v>
      </c>
      <c r="G4" s="2" t="s">
        <v>74</v>
      </c>
    </row>
    <row r="5" spans="1:7" ht="48" customHeight="1" x14ac:dyDescent="0.2">
      <c r="A5" s="1" t="s">
        <v>644</v>
      </c>
      <c r="B5" s="1" t="s">
        <v>97</v>
      </c>
      <c r="C5" s="1" t="s">
        <v>645</v>
      </c>
      <c r="D5" s="1" t="s">
        <v>646</v>
      </c>
      <c r="E5" s="1" t="s">
        <v>647</v>
      </c>
      <c r="F5" s="1" t="s">
        <v>231</v>
      </c>
      <c r="G5" s="1" t="s">
        <v>101</v>
      </c>
    </row>
    <row r="6" spans="1:7" ht="48" customHeight="1" x14ac:dyDescent="0.2">
      <c r="A6" s="1" t="s">
        <v>648</v>
      </c>
      <c r="B6" s="1" t="s">
        <v>428</v>
      </c>
      <c r="C6" s="1" t="s">
        <v>649</v>
      </c>
      <c r="D6" s="1" t="s">
        <v>650</v>
      </c>
      <c r="E6" s="1" t="s">
        <v>651</v>
      </c>
      <c r="F6" s="1" t="s">
        <v>243</v>
      </c>
      <c r="G6" s="1" t="s">
        <v>137</v>
      </c>
    </row>
    <row r="7" spans="1:7" ht="48" customHeight="1" x14ac:dyDescent="0.2">
      <c r="A7" s="1" t="s">
        <v>652</v>
      </c>
      <c r="B7" s="1" t="s">
        <v>653</v>
      </c>
      <c r="C7" s="1" t="s">
        <v>654</v>
      </c>
      <c r="D7" s="1" t="s">
        <v>655</v>
      </c>
      <c r="E7" s="1" t="s">
        <v>656</v>
      </c>
      <c r="F7" s="1" t="s">
        <v>231</v>
      </c>
      <c r="G7" s="1" t="s">
        <v>92</v>
      </c>
    </row>
    <row r="8" spans="1:7" ht="48" customHeight="1" x14ac:dyDescent="0.2">
      <c r="A8" s="1" t="s">
        <v>657</v>
      </c>
      <c r="B8" s="1" t="s">
        <v>658</v>
      </c>
      <c r="C8" s="1" t="s">
        <v>659</v>
      </c>
      <c r="D8" s="1" t="s">
        <v>646</v>
      </c>
      <c r="E8" s="1" t="s">
        <v>660</v>
      </c>
      <c r="F8" s="1" t="s">
        <v>231</v>
      </c>
      <c r="G8" s="1" t="s">
        <v>511</v>
      </c>
    </row>
    <row r="9" spans="1:7" ht="48" customHeight="1" x14ac:dyDescent="0.2">
      <c r="A9" s="1" t="s">
        <v>661</v>
      </c>
      <c r="B9" s="1" t="s">
        <v>662</v>
      </c>
      <c r="C9" s="1" t="s">
        <v>663</v>
      </c>
      <c r="D9" s="1" t="s">
        <v>646</v>
      </c>
      <c r="E9" s="1" t="s">
        <v>664</v>
      </c>
      <c r="F9" s="1" t="s">
        <v>243</v>
      </c>
      <c r="G9" s="1" t="s">
        <v>130</v>
      </c>
    </row>
    <row r="10" spans="1:7" ht="48" customHeight="1" x14ac:dyDescent="0.2">
      <c r="A10" s="1" t="s">
        <v>665</v>
      </c>
      <c r="B10" s="1" t="s">
        <v>107</v>
      </c>
      <c r="C10" s="1" t="s">
        <v>666</v>
      </c>
      <c r="D10" s="1" t="s">
        <v>667</v>
      </c>
      <c r="E10" s="1" t="s">
        <v>668</v>
      </c>
      <c r="F10" s="1" t="s">
        <v>231</v>
      </c>
      <c r="G10" s="1" t="s">
        <v>111</v>
      </c>
    </row>
    <row r="11" spans="1:7" ht="48" customHeight="1" x14ac:dyDescent="0.2">
      <c r="A11" s="1" t="s">
        <v>669</v>
      </c>
      <c r="B11" s="1" t="s">
        <v>670</v>
      </c>
      <c r="C11" s="1" t="s">
        <v>671</v>
      </c>
      <c r="D11" s="1" t="s">
        <v>672</v>
      </c>
      <c r="E11" s="1" t="s">
        <v>673</v>
      </c>
      <c r="F11" s="1" t="s">
        <v>231</v>
      </c>
      <c r="G11" s="1" t="s">
        <v>130</v>
      </c>
    </row>
    <row r="12" spans="1:7" ht="48" customHeight="1" x14ac:dyDescent="0.2">
      <c r="A12" s="1" t="s">
        <v>674</v>
      </c>
      <c r="B12" s="1" t="s">
        <v>675</v>
      </c>
      <c r="C12" s="1" t="s">
        <v>676</v>
      </c>
      <c r="D12" s="1" t="s">
        <v>667</v>
      </c>
      <c r="E12" s="1" t="s">
        <v>677</v>
      </c>
      <c r="F12" s="1" t="s">
        <v>231</v>
      </c>
      <c r="G12" s="1" t="s">
        <v>153</v>
      </c>
    </row>
    <row r="13" spans="1:7" ht="48" customHeight="1" x14ac:dyDescent="0.2">
      <c r="A13" s="1" t="s">
        <v>678</v>
      </c>
      <c r="B13" s="1" t="s">
        <v>679</v>
      </c>
      <c r="C13" s="1" t="s">
        <v>680</v>
      </c>
      <c r="D13" s="1" t="s">
        <v>681</v>
      </c>
      <c r="E13" s="1" t="s">
        <v>682</v>
      </c>
      <c r="F13" s="1" t="s">
        <v>243</v>
      </c>
      <c r="G13" s="1" t="s">
        <v>347</v>
      </c>
    </row>
    <row r="14" spans="1:7" ht="48" customHeight="1" x14ac:dyDescent="0.2">
      <c r="A14" s="1" t="s">
        <v>683</v>
      </c>
      <c r="B14" s="1" t="s">
        <v>684</v>
      </c>
      <c r="C14" s="1" t="s">
        <v>685</v>
      </c>
      <c r="D14" s="1" t="s">
        <v>686</v>
      </c>
      <c r="E14" s="1" t="s">
        <v>687</v>
      </c>
      <c r="F14" s="1" t="s">
        <v>243</v>
      </c>
      <c r="G14" s="1" t="s">
        <v>92</v>
      </c>
    </row>
    <row r="15" spans="1:7" ht="48" customHeight="1" x14ac:dyDescent="0.2">
      <c r="A15" s="1" t="s">
        <v>688</v>
      </c>
      <c r="B15" s="1" t="s">
        <v>689</v>
      </c>
      <c r="C15" s="1" t="s">
        <v>690</v>
      </c>
      <c r="D15" s="1" t="s">
        <v>646</v>
      </c>
      <c r="E15" s="1" t="s">
        <v>691</v>
      </c>
      <c r="F15" s="1" t="s">
        <v>231</v>
      </c>
      <c r="G15" s="1" t="s">
        <v>92</v>
      </c>
    </row>
  </sheetData>
  <mergeCells count="2">
    <mergeCell ref="A1:G1"/>
    <mergeCell ref="A2:G2"/>
  </mergeCells>
  <conditionalFormatting sqref="F5:F40">
    <cfRule type="containsText" dxfId="3" priority="1" operator="containsText" text="High"/>
    <cfRule type="containsText" dxfId="2" priority="2" operator="containsText" text="Medium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20.04296875" customWidth="1"/>
    <col min="3" max="3" width="66.05078125" customWidth="1"/>
    <col min="4" max="4" width="18.0234375" customWidth="1"/>
    <col min="5" max="5" width="53.94140625" customWidth="1"/>
    <col min="6" max="6" width="62.015625" customWidth="1"/>
  </cols>
  <sheetData>
    <row r="1" spans="1:6" ht="27.95" customHeight="1" x14ac:dyDescent="0.2">
      <c r="A1" s="3" t="s">
        <v>692</v>
      </c>
      <c r="B1" s="3"/>
      <c r="C1" s="3"/>
      <c r="D1" s="3"/>
      <c r="E1" s="3"/>
      <c r="F1" s="3"/>
    </row>
    <row r="2" spans="1:6" ht="27.95" customHeight="1" x14ac:dyDescent="0.2">
      <c r="A2" s="4" t="s">
        <v>693</v>
      </c>
      <c r="B2" s="4"/>
      <c r="C2" s="4"/>
      <c r="D2" s="4"/>
      <c r="E2" s="4"/>
      <c r="F2" s="4"/>
    </row>
    <row r="4" spans="1:6" ht="32.1" customHeight="1" x14ac:dyDescent="0.2">
      <c r="A4" s="2" t="s">
        <v>694</v>
      </c>
      <c r="B4" s="2" t="s">
        <v>63</v>
      </c>
      <c r="C4" s="2" t="s">
        <v>695</v>
      </c>
      <c r="D4" s="2" t="s">
        <v>696</v>
      </c>
      <c r="E4" s="2" t="s">
        <v>697</v>
      </c>
      <c r="F4" s="2" t="s">
        <v>74</v>
      </c>
    </row>
    <row r="5" spans="1:6" ht="48" customHeight="1" x14ac:dyDescent="0.2">
      <c r="A5" s="1" t="s">
        <v>698</v>
      </c>
      <c r="B5" s="1" t="s">
        <v>699</v>
      </c>
      <c r="C5" s="1" t="s">
        <v>700</v>
      </c>
      <c r="D5" s="1" t="s">
        <v>701</v>
      </c>
      <c r="E5" s="1" t="s">
        <v>702</v>
      </c>
      <c r="F5" s="1" t="s">
        <v>79</v>
      </c>
    </row>
    <row r="6" spans="1:6" ht="48" customHeight="1" x14ac:dyDescent="0.2">
      <c r="A6" s="1" t="s">
        <v>703</v>
      </c>
      <c r="B6" s="1" t="s">
        <v>704</v>
      </c>
      <c r="C6" s="1" t="s">
        <v>705</v>
      </c>
      <c r="D6" s="1" t="s">
        <v>706</v>
      </c>
      <c r="E6" s="1" t="s">
        <v>707</v>
      </c>
      <c r="F6" s="1" t="s">
        <v>79</v>
      </c>
    </row>
    <row r="7" spans="1:6" ht="48" customHeight="1" x14ac:dyDescent="0.2">
      <c r="A7" s="1" t="s">
        <v>708</v>
      </c>
      <c r="B7" s="1" t="s">
        <v>709</v>
      </c>
      <c r="C7" s="1" t="s">
        <v>710</v>
      </c>
      <c r="D7" s="1" t="s">
        <v>711</v>
      </c>
      <c r="E7" s="1" t="s">
        <v>712</v>
      </c>
      <c r="F7" s="1" t="s">
        <v>347</v>
      </c>
    </row>
    <row r="8" spans="1:6" ht="48" customHeight="1" x14ac:dyDescent="0.2">
      <c r="A8" s="1" t="s">
        <v>713</v>
      </c>
      <c r="B8" s="1" t="s">
        <v>714</v>
      </c>
      <c r="C8" s="1" t="s">
        <v>715</v>
      </c>
      <c r="D8" s="1" t="s">
        <v>716</v>
      </c>
      <c r="E8" s="1" t="s">
        <v>717</v>
      </c>
      <c r="F8" s="1" t="s">
        <v>79</v>
      </c>
    </row>
    <row r="9" spans="1:6" ht="48" customHeight="1" x14ac:dyDescent="0.2">
      <c r="A9" s="1" t="s">
        <v>718</v>
      </c>
      <c r="B9" s="1" t="s">
        <v>630</v>
      </c>
      <c r="C9" s="1" t="s">
        <v>719</v>
      </c>
      <c r="D9" s="1" t="s">
        <v>720</v>
      </c>
      <c r="E9" s="1" t="s">
        <v>721</v>
      </c>
      <c r="F9" s="1" t="s">
        <v>167</v>
      </c>
    </row>
    <row r="10" spans="1:6" ht="48" customHeight="1" x14ac:dyDescent="0.2">
      <c r="A10" s="1" t="s">
        <v>722</v>
      </c>
      <c r="B10" s="1" t="s">
        <v>723</v>
      </c>
      <c r="C10" s="1" t="s">
        <v>724</v>
      </c>
      <c r="D10" s="1" t="s">
        <v>725</v>
      </c>
      <c r="E10" s="1" t="s">
        <v>726</v>
      </c>
      <c r="F10" s="1" t="s">
        <v>580</v>
      </c>
    </row>
    <row r="11" spans="1:6" ht="48" customHeight="1" x14ac:dyDescent="0.2">
      <c r="A11" s="1" t="s">
        <v>727</v>
      </c>
      <c r="B11" s="1" t="s">
        <v>728</v>
      </c>
      <c r="C11" s="1" t="s">
        <v>729</v>
      </c>
      <c r="D11" s="1" t="s">
        <v>725</v>
      </c>
      <c r="E11" s="1" t="s">
        <v>730</v>
      </c>
      <c r="F11" s="1" t="s">
        <v>79</v>
      </c>
    </row>
    <row r="12" spans="1:6" ht="48" customHeight="1" x14ac:dyDescent="0.2">
      <c r="A12" s="1" t="s">
        <v>731</v>
      </c>
      <c r="B12" s="1" t="s">
        <v>732</v>
      </c>
      <c r="C12" s="1" t="s">
        <v>733</v>
      </c>
      <c r="D12" s="1" t="s">
        <v>734</v>
      </c>
      <c r="E12" s="1" t="s">
        <v>735</v>
      </c>
      <c r="F12" s="1" t="s">
        <v>153</v>
      </c>
    </row>
    <row r="13" spans="1:6" ht="48" customHeight="1" x14ac:dyDescent="0.2">
      <c r="A13" s="1" t="s">
        <v>736</v>
      </c>
      <c r="B13" s="1" t="s">
        <v>737</v>
      </c>
      <c r="C13" s="1" t="s">
        <v>738</v>
      </c>
      <c r="D13" s="1" t="s">
        <v>739</v>
      </c>
      <c r="E13" s="1" t="s">
        <v>740</v>
      </c>
      <c r="F13" s="1" t="s">
        <v>511</v>
      </c>
    </row>
    <row r="14" spans="1:6" ht="48" customHeight="1" x14ac:dyDescent="0.2">
      <c r="A14" s="1" t="s">
        <v>741</v>
      </c>
      <c r="B14" s="1" t="s">
        <v>742</v>
      </c>
      <c r="C14" s="1" t="s">
        <v>743</v>
      </c>
      <c r="D14" s="1" t="s">
        <v>744</v>
      </c>
      <c r="E14" s="1" t="s">
        <v>745</v>
      </c>
      <c r="F14" s="1" t="s">
        <v>130</v>
      </c>
    </row>
    <row r="15" spans="1:6" ht="48" customHeight="1" x14ac:dyDescent="0.2">
      <c r="A15" s="1" t="s">
        <v>746</v>
      </c>
      <c r="B15" s="1" t="s">
        <v>747</v>
      </c>
      <c r="C15" s="1" t="s">
        <v>748</v>
      </c>
      <c r="D15" s="1" t="s">
        <v>749</v>
      </c>
      <c r="E15" s="1" t="s">
        <v>750</v>
      </c>
      <c r="F15" s="1" t="s">
        <v>101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16.0078125" customWidth="1"/>
    <col min="3" max="3" width="25.9609375" customWidth="1"/>
    <col min="4" max="4" width="48.0234375" customWidth="1"/>
    <col min="5" max="5" width="53.94140625" customWidth="1"/>
    <col min="6" max="6" width="11.97265625" customWidth="1"/>
    <col min="7" max="7" width="20.04296875" customWidth="1"/>
    <col min="8" max="8" width="62.015625" customWidth="1"/>
  </cols>
  <sheetData>
    <row r="1" spans="1:8" ht="27.95" customHeight="1" x14ac:dyDescent="0.2">
      <c r="A1" s="3" t="s">
        <v>751</v>
      </c>
      <c r="B1" s="3"/>
      <c r="C1" s="3"/>
      <c r="D1" s="3"/>
      <c r="E1" s="3"/>
      <c r="F1" s="3"/>
      <c r="G1" s="3"/>
      <c r="H1" s="3"/>
    </row>
    <row r="2" spans="1:8" ht="27.95" customHeight="1" x14ac:dyDescent="0.2">
      <c r="A2" s="4" t="s">
        <v>752</v>
      </c>
      <c r="B2" s="4"/>
      <c r="C2" s="4"/>
      <c r="D2" s="4"/>
      <c r="E2" s="4"/>
      <c r="F2" s="4"/>
      <c r="G2" s="4"/>
      <c r="H2" s="4"/>
    </row>
    <row r="4" spans="1:8" ht="32.1" customHeight="1" x14ac:dyDescent="0.2">
      <c r="A4" s="2" t="s">
        <v>753</v>
      </c>
      <c r="B4" s="2" t="s">
        <v>222</v>
      </c>
      <c r="C4" s="2" t="s">
        <v>754</v>
      </c>
      <c r="D4" s="2" t="s">
        <v>755</v>
      </c>
      <c r="E4" s="2" t="s">
        <v>756</v>
      </c>
      <c r="F4" s="2" t="s">
        <v>226</v>
      </c>
      <c r="G4" s="2" t="s">
        <v>757</v>
      </c>
      <c r="H4" s="2" t="s">
        <v>74</v>
      </c>
    </row>
    <row r="5" spans="1:8" ht="48" customHeight="1" x14ac:dyDescent="0.2">
      <c r="A5" s="1" t="s">
        <v>758</v>
      </c>
      <c r="B5" s="1" t="s">
        <v>97</v>
      </c>
      <c r="C5" s="1" t="s">
        <v>759</v>
      </c>
      <c r="D5" s="1" t="s">
        <v>760</v>
      </c>
      <c r="E5" s="1" t="s">
        <v>761</v>
      </c>
      <c r="F5" s="1" t="s">
        <v>231</v>
      </c>
      <c r="G5" s="1" t="s">
        <v>227</v>
      </c>
      <c r="H5" s="1" t="s">
        <v>101</v>
      </c>
    </row>
    <row r="6" spans="1:8" ht="48" customHeight="1" x14ac:dyDescent="0.2">
      <c r="A6" s="1" t="s">
        <v>762</v>
      </c>
      <c r="B6" s="1" t="s">
        <v>97</v>
      </c>
      <c r="C6" s="1" t="s">
        <v>763</v>
      </c>
      <c r="D6" s="1" t="s">
        <v>764</v>
      </c>
      <c r="E6" s="1" t="s">
        <v>765</v>
      </c>
      <c r="F6" s="1" t="s">
        <v>231</v>
      </c>
      <c r="G6" s="1" t="s">
        <v>227</v>
      </c>
      <c r="H6" s="1" t="s">
        <v>101</v>
      </c>
    </row>
    <row r="7" spans="1:8" ht="48" customHeight="1" x14ac:dyDescent="0.2">
      <c r="A7" s="1" t="s">
        <v>766</v>
      </c>
      <c r="B7" s="1" t="s">
        <v>97</v>
      </c>
      <c r="C7" s="1" t="s">
        <v>767</v>
      </c>
      <c r="D7" s="1" t="s">
        <v>768</v>
      </c>
      <c r="E7" s="1" t="s">
        <v>769</v>
      </c>
      <c r="F7" s="1" t="s">
        <v>231</v>
      </c>
      <c r="G7" s="1" t="s">
        <v>227</v>
      </c>
      <c r="H7" s="1" t="s">
        <v>101</v>
      </c>
    </row>
    <row r="8" spans="1:8" ht="48" customHeight="1" x14ac:dyDescent="0.2">
      <c r="A8" s="1" t="s">
        <v>770</v>
      </c>
      <c r="B8" s="1" t="s">
        <v>251</v>
      </c>
      <c r="C8" s="1" t="s">
        <v>771</v>
      </c>
      <c r="D8" s="1" t="s">
        <v>772</v>
      </c>
      <c r="E8" s="1" t="s">
        <v>773</v>
      </c>
      <c r="F8" s="1" t="s">
        <v>231</v>
      </c>
      <c r="G8" s="1" t="s">
        <v>774</v>
      </c>
      <c r="H8" s="1" t="s">
        <v>130</v>
      </c>
    </row>
    <row r="9" spans="1:8" ht="48" customHeight="1" x14ac:dyDescent="0.2">
      <c r="A9" s="1" t="s">
        <v>775</v>
      </c>
      <c r="B9" s="1" t="s">
        <v>251</v>
      </c>
      <c r="C9" s="1" t="s">
        <v>776</v>
      </c>
      <c r="D9" s="1" t="s">
        <v>777</v>
      </c>
      <c r="E9" s="1" t="s">
        <v>778</v>
      </c>
      <c r="F9" s="1" t="s">
        <v>231</v>
      </c>
      <c r="G9" s="1" t="s">
        <v>262</v>
      </c>
      <c r="H9" s="1" t="s">
        <v>272</v>
      </c>
    </row>
    <row r="10" spans="1:8" ht="48" customHeight="1" x14ac:dyDescent="0.2">
      <c r="A10" s="1" t="s">
        <v>779</v>
      </c>
      <c r="B10" s="1" t="s">
        <v>251</v>
      </c>
      <c r="C10" s="1" t="s">
        <v>268</v>
      </c>
      <c r="D10" s="1" t="s">
        <v>780</v>
      </c>
      <c r="E10" s="1" t="s">
        <v>781</v>
      </c>
      <c r="F10" s="1" t="s">
        <v>231</v>
      </c>
      <c r="G10" s="1" t="s">
        <v>267</v>
      </c>
      <c r="H10" s="1" t="s">
        <v>272</v>
      </c>
    </row>
    <row r="11" spans="1:8" ht="48" customHeight="1" x14ac:dyDescent="0.2">
      <c r="A11" s="1" t="s">
        <v>782</v>
      </c>
      <c r="B11" s="1" t="s">
        <v>251</v>
      </c>
      <c r="C11" s="1" t="s">
        <v>274</v>
      </c>
      <c r="D11" s="1" t="s">
        <v>783</v>
      </c>
      <c r="E11" s="1" t="s">
        <v>784</v>
      </c>
      <c r="F11" s="1" t="s">
        <v>231</v>
      </c>
      <c r="G11" s="1" t="s">
        <v>273</v>
      </c>
      <c r="H11" s="1" t="s">
        <v>277</v>
      </c>
    </row>
    <row r="12" spans="1:8" ht="48" customHeight="1" x14ac:dyDescent="0.2">
      <c r="A12" s="1" t="s">
        <v>785</v>
      </c>
      <c r="B12" s="1" t="s">
        <v>291</v>
      </c>
      <c r="C12" s="1" t="s">
        <v>786</v>
      </c>
      <c r="D12" s="1" t="s">
        <v>787</v>
      </c>
      <c r="E12" s="1" t="s">
        <v>788</v>
      </c>
      <c r="F12" s="1" t="s">
        <v>231</v>
      </c>
      <c r="G12" s="1" t="s">
        <v>290</v>
      </c>
      <c r="H12" s="1" t="s">
        <v>92</v>
      </c>
    </row>
    <row r="13" spans="1:8" ht="48" customHeight="1" x14ac:dyDescent="0.2">
      <c r="A13" s="1" t="s">
        <v>789</v>
      </c>
      <c r="B13" s="1" t="s">
        <v>291</v>
      </c>
      <c r="C13" s="1" t="s">
        <v>790</v>
      </c>
      <c r="D13" s="1" t="s">
        <v>791</v>
      </c>
      <c r="E13" s="1" t="s">
        <v>792</v>
      </c>
      <c r="F13" s="1" t="s">
        <v>231</v>
      </c>
      <c r="G13" s="1" t="s">
        <v>290</v>
      </c>
      <c r="H13" s="1" t="s">
        <v>92</v>
      </c>
    </row>
    <row r="14" spans="1:8" ht="48" customHeight="1" x14ac:dyDescent="0.2">
      <c r="A14" s="1" t="s">
        <v>793</v>
      </c>
      <c r="B14" s="1" t="s">
        <v>297</v>
      </c>
      <c r="C14" s="1" t="s">
        <v>794</v>
      </c>
      <c r="D14" s="1" t="s">
        <v>795</v>
      </c>
      <c r="E14" s="1" t="s">
        <v>796</v>
      </c>
      <c r="F14" s="1" t="s">
        <v>231</v>
      </c>
      <c r="G14" s="1" t="s">
        <v>308</v>
      </c>
      <c r="H14" s="1" t="s">
        <v>92</v>
      </c>
    </row>
    <row r="15" spans="1:8" ht="48" customHeight="1" x14ac:dyDescent="0.2">
      <c r="A15" s="1" t="s">
        <v>797</v>
      </c>
      <c r="B15" s="1" t="s">
        <v>297</v>
      </c>
      <c r="C15" s="1" t="s">
        <v>798</v>
      </c>
      <c r="D15" s="1" t="s">
        <v>799</v>
      </c>
      <c r="E15" s="1" t="s">
        <v>800</v>
      </c>
      <c r="F15" s="1" t="s">
        <v>243</v>
      </c>
      <c r="G15" s="1" t="s">
        <v>303</v>
      </c>
      <c r="H15" s="1" t="s">
        <v>92</v>
      </c>
    </row>
    <row r="16" spans="1:8" ht="48" customHeight="1" x14ac:dyDescent="0.2">
      <c r="A16" s="1" t="s">
        <v>801</v>
      </c>
      <c r="B16" s="1" t="s">
        <v>802</v>
      </c>
      <c r="C16" s="1" t="s">
        <v>803</v>
      </c>
      <c r="D16" s="1" t="s">
        <v>804</v>
      </c>
      <c r="E16" s="1" t="s">
        <v>805</v>
      </c>
      <c r="F16" s="1" t="s">
        <v>231</v>
      </c>
      <c r="G16" s="1" t="s">
        <v>806</v>
      </c>
      <c r="H16" s="1" t="s">
        <v>137</v>
      </c>
    </row>
    <row r="17" spans="1:8" ht="48" customHeight="1" x14ac:dyDescent="0.2">
      <c r="A17" s="1" t="s">
        <v>807</v>
      </c>
      <c r="B17" s="1" t="s">
        <v>279</v>
      </c>
      <c r="C17" s="1" t="s">
        <v>808</v>
      </c>
      <c r="D17" s="1" t="s">
        <v>809</v>
      </c>
      <c r="E17" s="1" t="s">
        <v>810</v>
      </c>
      <c r="F17" s="1" t="s">
        <v>243</v>
      </c>
      <c r="G17" s="1" t="s">
        <v>320</v>
      </c>
      <c r="H17" s="1" t="s">
        <v>153</v>
      </c>
    </row>
    <row r="18" spans="1:8" ht="48" customHeight="1" x14ac:dyDescent="0.2">
      <c r="A18" s="1" t="s">
        <v>811</v>
      </c>
      <c r="B18" s="1" t="s">
        <v>279</v>
      </c>
      <c r="C18" s="1" t="s">
        <v>812</v>
      </c>
      <c r="D18" s="1" t="s">
        <v>813</v>
      </c>
      <c r="E18" s="1" t="s">
        <v>814</v>
      </c>
      <c r="F18" s="1" t="s">
        <v>231</v>
      </c>
      <c r="G18" s="1" t="s">
        <v>320</v>
      </c>
      <c r="H18" s="1" t="s">
        <v>153</v>
      </c>
    </row>
    <row r="19" spans="1:8" ht="48" customHeight="1" x14ac:dyDescent="0.2">
      <c r="A19" s="1" t="s">
        <v>815</v>
      </c>
      <c r="B19" s="1" t="s">
        <v>816</v>
      </c>
      <c r="C19" s="1" t="s">
        <v>817</v>
      </c>
      <c r="D19" s="1" t="s">
        <v>818</v>
      </c>
      <c r="E19" s="1" t="s">
        <v>819</v>
      </c>
      <c r="F19" s="1" t="s">
        <v>231</v>
      </c>
      <c r="G19" s="1" t="s">
        <v>657</v>
      </c>
      <c r="H19" s="1" t="s">
        <v>511</v>
      </c>
    </row>
    <row r="20" spans="1:8" ht="48" customHeight="1" x14ac:dyDescent="0.2">
      <c r="A20" s="1" t="s">
        <v>820</v>
      </c>
      <c r="B20" s="1" t="s">
        <v>107</v>
      </c>
      <c r="C20" s="1" t="s">
        <v>821</v>
      </c>
      <c r="D20" s="1" t="s">
        <v>822</v>
      </c>
      <c r="E20" s="1" t="s">
        <v>823</v>
      </c>
      <c r="F20" s="1" t="s">
        <v>231</v>
      </c>
      <c r="G20" s="1" t="s">
        <v>665</v>
      </c>
      <c r="H20" s="1" t="s">
        <v>111</v>
      </c>
    </row>
    <row r="21" spans="1:8" ht="48" customHeight="1" x14ac:dyDescent="0.2">
      <c r="A21" s="1" t="s">
        <v>824</v>
      </c>
      <c r="B21" s="1" t="s">
        <v>327</v>
      </c>
      <c r="C21" s="1" t="s">
        <v>825</v>
      </c>
      <c r="D21" s="1" t="s">
        <v>826</v>
      </c>
      <c r="E21" s="1" t="s">
        <v>827</v>
      </c>
      <c r="F21" s="1" t="s">
        <v>333</v>
      </c>
      <c r="G21" s="1" t="s">
        <v>326</v>
      </c>
      <c r="H21" s="1" t="s">
        <v>334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4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16.0078125" customWidth="1"/>
    <col min="3" max="3" width="52.05859375" customWidth="1"/>
    <col min="4" max="4" width="11.97265625" customWidth="1"/>
    <col min="5" max="5" width="64.03125" customWidth="1"/>
    <col min="6" max="6" width="13.98828125" customWidth="1"/>
    <col min="7" max="7" width="62.015625" customWidth="1"/>
  </cols>
  <sheetData>
    <row r="1" spans="1:7" ht="27.95" customHeight="1" x14ac:dyDescent="0.2">
      <c r="A1" s="3" t="s">
        <v>828</v>
      </c>
      <c r="B1" s="3"/>
      <c r="C1" s="3"/>
      <c r="D1" s="3"/>
      <c r="E1" s="3"/>
      <c r="F1" s="3"/>
      <c r="G1" s="3"/>
    </row>
    <row r="2" spans="1:7" ht="27.95" customHeight="1" x14ac:dyDescent="0.2">
      <c r="A2" s="4" t="s">
        <v>829</v>
      </c>
      <c r="B2" s="4"/>
      <c r="C2" s="4"/>
      <c r="D2" s="4"/>
      <c r="E2" s="4"/>
      <c r="F2" s="4"/>
      <c r="G2" s="4"/>
    </row>
    <row r="4" spans="1:7" ht="32.1" customHeight="1" x14ac:dyDescent="0.2">
      <c r="A4" s="2" t="s">
        <v>830</v>
      </c>
      <c r="B4" s="2" t="s">
        <v>63</v>
      </c>
      <c r="C4" s="2" t="s">
        <v>34</v>
      </c>
      <c r="D4" s="2" t="s">
        <v>643</v>
      </c>
      <c r="E4" s="2" t="s">
        <v>831</v>
      </c>
      <c r="F4" s="2" t="s">
        <v>18</v>
      </c>
      <c r="G4" s="2" t="s">
        <v>74</v>
      </c>
    </row>
    <row r="5" spans="1:7" ht="48" customHeight="1" x14ac:dyDescent="0.2">
      <c r="A5" s="1" t="s">
        <v>832</v>
      </c>
      <c r="B5" s="1" t="s">
        <v>667</v>
      </c>
      <c r="C5" s="1" t="s">
        <v>833</v>
      </c>
      <c r="D5" s="1" t="s">
        <v>231</v>
      </c>
      <c r="E5" s="1" t="s">
        <v>834</v>
      </c>
      <c r="F5" s="1" t="s">
        <v>835</v>
      </c>
      <c r="G5" s="1" t="s">
        <v>111</v>
      </c>
    </row>
    <row r="6" spans="1:7" ht="48" customHeight="1" x14ac:dyDescent="0.2">
      <c r="A6" s="1" t="s">
        <v>836</v>
      </c>
      <c r="B6" s="1" t="s">
        <v>667</v>
      </c>
      <c r="C6" s="1" t="s">
        <v>837</v>
      </c>
      <c r="D6" s="1" t="s">
        <v>231</v>
      </c>
      <c r="E6" s="1" t="s">
        <v>838</v>
      </c>
      <c r="F6" s="1" t="s">
        <v>835</v>
      </c>
      <c r="G6" s="1" t="s">
        <v>92</v>
      </c>
    </row>
    <row r="7" spans="1:7" ht="48" customHeight="1" x14ac:dyDescent="0.2">
      <c r="A7" s="1" t="s">
        <v>839</v>
      </c>
      <c r="B7" s="1" t="s">
        <v>667</v>
      </c>
      <c r="C7" s="1" t="s">
        <v>840</v>
      </c>
      <c r="D7" s="1" t="s">
        <v>231</v>
      </c>
      <c r="E7" s="1" t="s">
        <v>841</v>
      </c>
      <c r="F7" s="1" t="s">
        <v>835</v>
      </c>
      <c r="G7" s="1" t="s">
        <v>153</v>
      </c>
    </row>
    <row r="8" spans="1:7" ht="48" customHeight="1" x14ac:dyDescent="0.2">
      <c r="A8" s="1" t="s">
        <v>842</v>
      </c>
      <c r="B8" s="1" t="s">
        <v>681</v>
      </c>
      <c r="C8" s="1" t="s">
        <v>843</v>
      </c>
      <c r="D8" s="1" t="s">
        <v>243</v>
      </c>
      <c r="E8" s="1" t="s">
        <v>844</v>
      </c>
      <c r="F8" s="1" t="s">
        <v>835</v>
      </c>
      <c r="G8" s="1" t="s">
        <v>347</v>
      </c>
    </row>
    <row r="9" spans="1:7" ht="48" customHeight="1" x14ac:dyDescent="0.2">
      <c r="A9" s="1" t="s">
        <v>845</v>
      </c>
      <c r="B9" s="1" t="s">
        <v>286</v>
      </c>
      <c r="C9" s="1" t="s">
        <v>846</v>
      </c>
      <c r="D9" s="1" t="s">
        <v>243</v>
      </c>
      <c r="E9" s="1" t="s">
        <v>847</v>
      </c>
      <c r="F9" s="1" t="s">
        <v>848</v>
      </c>
      <c r="G9" s="1" t="s">
        <v>511</v>
      </c>
    </row>
    <row r="10" spans="1:7" ht="48" customHeight="1" x14ac:dyDescent="0.2">
      <c r="A10" s="1" t="s">
        <v>849</v>
      </c>
      <c r="B10" s="1" t="s">
        <v>286</v>
      </c>
      <c r="C10" s="1" t="s">
        <v>850</v>
      </c>
      <c r="D10" s="1" t="s">
        <v>243</v>
      </c>
      <c r="E10" s="1" t="s">
        <v>851</v>
      </c>
      <c r="F10" s="1" t="s">
        <v>835</v>
      </c>
      <c r="G10" s="1" t="s">
        <v>101</v>
      </c>
    </row>
    <row r="11" spans="1:7" ht="48" customHeight="1" x14ac:dyDescent="0.2">
      <c r="A11" s="1" t="s">
        <v>852</v>
      </c>
      <c r="B11" s="1" t="s">
        <v>286</v>
      </c>
      <c r="C11" s="1" t="s">
        <v>853</v>
      </c>
      <c r="D11" s="1" t="s">
        <v>243</v>
      </c>
      <c r="E11" s="1" t="s">
        <v>854</v>
      </c>
      <c r="F11" s="1" t="s">
        <v>835</v>
      </c>
      <c r="G11" s="1" t="s">
        <v>92</v>
      </c>
    </row>
    <row r="12" spans="1:7" ht="48" customHeight="1" x14ac:dyDescent="0.2">
      <c r="A12" s="1" t="s">
        <v>855</v>
      </c>
      <c r="B12" s="1" t="s">
        <v>286</v>
      </c>
      <c r="C12" s="1" t="s">
        <v>856</v>
      </c>
      <c r="D12" s="1" t="s">
        <v>243</v>
      </c>
      <c r="E12" s="1" t="s">
        <v>857</v>
      </c>
      <c r="F12" s="1" t="s">
        <v>835</v>
      </c>
      <c r="G12" s="1" t="s">
        <v>272</v>
      </c>
    </row>
    <row r="13" spans="1:7" ht="48" customHeight="1" x14ac:dyDescent="0.2">
      <c r="A13" s="1" t="s">
        <v>858</v>
      </c>
      <c r="B13" s="1" t="s">
        <v>286</v>
      </c>
      <c r="C13" s="1" t="s">
        <v>859</v>
      </c>
      <c r="D13" s="1" t="s">
        <v>243</v>
      </c>
      <c r="E13" s="1" t="s">
        <v>860</v>
      </c>
      <c r="F13" s="1" t="s">
        <v>835</v>
      </c>
      <c r="G13" s="1" t="s">
        <v>130</v>
      </c>
    </row>
    <row r="14" spans="1:7" ht="48" customHeight="1" x14ac:dyDescent="0.2">
      <c r="A14" s="1" t="s">
        <v>861</v>
      </c>
      <c r="B14" s="1" t="s">
        <v>286</v>
      </c>
      <c r="C14" s="1" t="s">
        <v>862</v>
      </c>
      <c r="D14" s="1" t="s">
        <v>333</v>
      </c>
      <c r="E14" s="1" t="s">
        <v>863</v>
      </c>
      <c r="F14" s="1" t="s">
        <v>835</v>
      </c>
      <c r="G14" s="1" t="s">
        <v>79</v>
      </c>
    </row>
  </sheetData>
  <mergeCells count="2">
    <mergeCell ref="A1:G1"/>
    <mergeCell ref="A2:G2"/>
  </mergeCells>
  <conditionalFormatting sqref="D5:D14">
    <cfRule type="containsText" dxfId="1" priority="1" operator="containsText" text="High"/>
    <cfRule type="containsText" dxfId="0" priority="2" operator="containsText" text="Medium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8"/>
  <sheetViews>
    <sheetView zoomScaleNormal="100" zoomScaleSheetLayoutView="100" workbookViewId="0"/>
  </sheetViews>
  <sheetFormatPr defaultRowHeight="15" x14ac:dyDescent="0.2"/>
  <cols>
    <col min="1" max="1" width="41.96875" customWidth="1"/>
    <col min="2" max="2" width="71.96875" customWidth="1"/>
    <col min="3" max="3" width="82.05859375" customWidth="1"/>
  </cols>
  <sheetData>
    <row r="1" spans="1:3" ht="27.95" customHeight="1" x14ac:dyDescent="0.2">
      <c r="A1" s="3" t="s">
        <v>864</v>
      </c>
      <c r="B1" s="3"/>
      <c r="C1" s="3"/>
    </row>
    <row r="2" spans="1:3" ht="27.95" customHeight="1" x14ac:dyDescent="0.2">
      <c r="A2" s="4" t="s">
        <v>865</v>
      </c>
      <c r="B2" s="4"/>
      <c r="C2" s="4"/>
    </row>
    <row r="4" spans="1:3" ht="32.1" customHeight="1" x14ac:dyDescent="0.2">
      <c r="A4" s="2" t="s">
        <v>866</v>
      </c>
      <c r="B4" s="2" t="s">
        <v>867</v>
      </c>
      <c r="C4" s="2" t="s">
        <v>868</v>
      </c>
    </row>
    <row r="5" spans="1:3" ht="48" customHeight="1" x14ac:dyDescent="0.2">
      <c r="A5" s="1" t="s">
        <v>869</v>
      </c>
      <c r="B5" s="1" t="s">
        <v>870</v>
      </c>
      <c r="C5" s="1" t="s">
        <v>79</v>
      </c>
    </row>
    <row r="6" spans="1:3" ht="48" customHeight="1" x14ac:dyDescent="0.2">
      <c r="A6" s="1" t="s">
        <v>871</v>
      </c>
      <c r="B6" s="1" t="s">
        <v>872</v>
      </c>
      <c r="C6" s="1" t="s">
        <v>590</v>
      </c>
    </row>
    <row r="7" spans="1:3" ht="48" customHeight="1" x14ac:dyDescent="0.2">
      <c r="A7" s="1" t="s">
        <v>873</v>
      </c>
      <c r="B7" s="1" t="s">
        <v>874</v>
      </c>
      <c r="C7" s="1" t="s">
        <v>111</v>
      </c>
    </row>
    <row r="8" spans="1:3" ht="48" customHeight="1" x14ac:dyDescent="0.2">
      <c r="A8" s="1" t="s">
        <v>875</v>
      </c>
      <c r="B8" s="1" t="s">
        <v>876</v>
      </c>
      <c r="C8" s="1" t="s">
        <v>167</v>
      </c>
    </row>
    <row r="9" spans="1:3" ht="48" customHeight="1" x14ac:dyDescent="0.2">
      <c r="A9" s="1" t="s">
        <v>877</v>
      </c>
      <c r="B9" s="1" t="s">
        <v>878</v>
      </c>
      <c r="C9" s="1" t="s">
        <v>130</v>
      </c>
    </row>
    <row r="10" spans="1:3" ht="48" customHeight="1" x14ac:dyDescent="0.2">
      <c r="A10" s="1" t="s">
        <v>879</v>
      </c>
      <c r="B10" s="1" t="s">
        <v>880</v>
      </c>
      <c r="C10" s="1" t="s">
        <v>284</v>
      </c>
    </row>
    <row r="11" spans="1:3" ht="48" customHeight="1" x14ac:dyDescent="0.2">
      <c r="A11" s="1" t="s">
        <v>881</v>
      </c>
      <c r="B11" s="1" t="s">
        <v>882</v>
      </c>
      <c r="C11" s="1" t="s">
        <v>272</v>
      </c>
    </row>
    <row r="12" spans="1:3" ht="48" customHeight="1" x14ac:dyDescent="0.2">
      <c r="A12" s="1" t="s">
        <v>883</v>
      </c>
      <c r="B12" s="1" t="s">
        <v>884</v>
      </c>
      <c r="C12" s="1" t="s">
        <v>277</v>
      </c>
    </row>
    <row r="13" spans="1:3" ht="48" customHeight="1" x14ac:dyDescent="0.2">
      <c r="A13" s="1" t="s">
        <v>885</v>
      </c>
      <c r="B13" s="1" t="s">
        <v>886</v>
      </c>
      <c r="C13" s="1" t="s">
        <v>106</v>
      </c>
    </row>
    <row r="14" spans="1:3" ht="48" customHeight="1" x14ac:dyDescent="0.2">
      <c r="A14" s="1" t="s">
        <v>637</v>
      </c>
      <c r="B14" s="1" t="s">
        <v>887</v>
      </c>
      <c r="C14" s="1" t="s">
        <v>334</v>
      </c>
    </row>
    <row r="15" spans="1:3" ht="48" customHeight="1" x14ac:dyDescent="0.2">
      <c r="A15" s="1" t="s">
        <v>888</v>
      </c>
      <c r="B15" s="1" t="s">
        <v>889</v>
      </c>
      <c r="C15" s="1" t="s">
        <v>418</v>
      </c>
    </row>
    <row r="16" spans="1:3" ht="48" customHeight="1" x14ac:dyDescent="0.2">
      <c r="A16" s="1" t="s">
        <v>890</v>
      </c>
      <c r="B16" s="1" t="s">
        <v>891</v>
      </c>
      <c r="C16" s="1" t="s">
        <v>101</v>
      </c>
    </row>
    <row r="17" spans="1:3" ht="48" customHeight="1" x14ac:dyDescent="0.2">
      <c r="A17" s="1" t="s">
        <v>892</v>
      </c>
      <c r="B17" s="1" t="s">
        <v>893</v>
      </c>
      <c r="C17" s="1" t="s">
        <v>92</v>
      </c>
    </row>
    <row r="18" spans="1:3" ht="48" customHeight="1" x14ac:dyDescent="0.2">
      <c r="A18" s="1" t="s">
        <v>894</v>
      </c>
      <c r="B18" s="1" t="s">
        <v>895</v>
      </c>
      <c r="C18" s="1" t="s">
        <v>153</v>
      </c>
    </row>
    <row r="19" spans="1:3" ht="48" customHeight="1" x14ac:dyDescent="0.2">
      <c r="A19" s="1" t="s">
        <v>896</v>
      </c>
      <c r="B19" s="1" t="s">
        <v>897</v>
      </c>
      <c r="C19" s="1" t="s">
        <v>482</v>
      </c>
    </row>
    <row r="20" spans="1:3" ht="48" customHeight="1" x14ac:dyDescent="0.2">
      <c r="A20" s="1" t="s">
        <v>898</v>
      </c>
      <c r="B20" s="1" t="s">
        <v>899</v>
      </c>
      <c r="C20" s="1" t="s">
        <v>511</v>
      </c>
    </row>
    <row r="21" spans="1:3" ht="48" customHeight="1" x14ac:dyDescent="0.2">
      <c r="A21" s="1" t="s">
        <v>900</v>
      </c>
      <c r="B21" s="1" t="s">
        <v>901</v>
      </c>
      <c r="C21" s="1" t="s">
        <v>555</v>
      </c>
    </row>
    <row r="22" spans="1:3" ht="48" customHeight="1" x14ac:dyDescent="0.2">
      <c r="A22" s="1" t="s">
        <v>902</v>
      </c>
      <c r="B22" s="1" t="s">
        <v>357</v>
      </c>
      <c r="C22" s="1" t="s">
        <v>363</v>
      </c>
    </row>
    <row r="23" spans="1:3" ht="48" customHeight="1" x14ac:dyDescent="0.2">
      <c r="A23" s="1" t="s">
        <v>903</v>
      </c>
      <c r="B23" s="1" t="s">
        <v>904</v>
      </c>
      <c r="C23" s="1" t="s">
        <v>137</v>
      </c>
    </row>
    <row r="24" spans="1:3" ht="48" customHeight="1" x14ac:dyDescent="0.2">
      <c r="A24" s="1" t="s">
        <v>905</v>
      </c>
      <c r="B24" s="1" t="s">
        <v>906</v>
      </c>
      <c r="C24" s="1" t="s">
        <v>302</v>
      </c>
    </row>
    <row r="25" spans="1:3" ht="48" customHeight="1" x14ac:dyDescent="0.2">
      <c r="A25" s="1" t="s">
        <v>907</v>
      </c>
      <c r="B25" s="1" t="s">
        <v>908</v>
      </c>
      <c r="C25" s="1" t="s">
        <v>570</v>
      </c>
    </row>
    <row r="26" spans="1:3" ht="48" customHeight="1" x14ac:dyDescent="0.2">
      <c r="A26" s="1" t="s">
        <v>909</v>
      </c>
      <c r="B26" s="1" t="s">
        <v>709</v>
      </c>
      <c r="C26" s="1" t="s">
        <v>347</v>
      </c>
    </row>
    <row r="27" spans="1:3" ht="48" customHeight="1" x14ac:dyDescent="0.2">
      <c r="A27" s="1" t="s">
        <v>159</v>
      </c>
      <c r="B27" s="1" t="s">
        <v>910</v>
      </c>
      <c r="C27" s="1" t="s">
        <v>160</v>
      </c>
    </row>
    <row r="28" spans="1:3" ht="48" customHeight="1" x14ac:dyDescent="0.2">
      <c r="A28" s="1" t="s">
        <v>579</v>
      </c>
      <c r="B28" s="1" t="s">
        <v>911</v>
      </c>
      <c r="C28" s="1" t="s">
        <v>580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00_表紙</vt:lpstr>
      <vt:lpstr>01_概要</vt:lpstr>
      <vt:lpstr>02_全体構成</vt:lpstr>
      <vt:lpstr>03_機能仕様</vt:lpstr>
      <vt:lpstr>04_画面仕様</vt:lpstr>
      <vt:lpstr>05_API仕様</vt:lpstr>
      <vt:lpstr>06_DB仕様</vt:lpstr>
      <vt:lpstr>07_Android_NFC</vt:lpstr>
      <vt:lpstr>08_セキュリティ</vt:lpstr>
      <vt:lpstr>09_運用仕様</vt:lpstr>
      <vt:lpstr>10_試験観点</vt:lpstr>
      <vt:lpstr>11_課題確認</vt:lpstr>
      <vt:lpstr>12_ソース参照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dcterms:created xsi:type="dcterms:W3CDTF">2026-05-12T13:56:18Z</dcterms:created>
</cp:coreProperties>
</file>